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FAEL\Desktop\07_Projetos\Projetos\Hidro-e-Fitness-V2-G-\"/>
    </mc:Choice>
  </mc:AlternateContent>
  <xr:revisionPtr revIDLastSave="0" documentId="13_ncr:1_{835D1498-8245-4AAD-BDCD-7FEE67E94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ão de Planos" sheetId="1" r:id="rId1"/>
    <sheet name="Planilha1" sheetId="3" r:id="rId2"/>
    <sheet name="Legenda" sheetId="2" r:id="rId3"/>
  </sheets>
  <calcPr calcId="181029"/>
</workbook>
</file>

<file path=xl/calcChain.xml><?xml version="1.0" encoding="utf-8"?>
<calcChain xmlns="http://schemas.openxmlformats.org/spreadsheetml/2006/main">
  <c r="G2" i="1" l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/>
  <c r="G10" i="1"/>
  <c r="H10" i="1"/>
  <c r="G11" i="1"/>
  <c r="H11" i="1" s="1"/>
  <c r="G12" i="1"/>
  <c r="H12" i="1"/>
  <c r="G13" i="1"/>
  <c r="H13" i="1" s="1"/>
  <c r="G14" i="1"/>
  <c r="H14" i="1" s="1"/>
  <c r="G15" i="1"/>
  <c r="H15" i="1"/>
  <c r="G16" i="1"/>
  <c r="H16" i="1"/>
  <c r="G17" i="1"/>
  <c r="H17" i="1" s="1"/>
  <c r="G18" i="1"/>
  <c r="H18" i="1"/>
  <c r="G19" i="1"/>
  <c r="H19" i="1" s="1"/>
  <c r="G20" i="1"/>
  <c r="H20" i="1" s="1"/>
  <c r="G21" i="1"/>
  <c r="H21" i="1"/>
  <c r="G22" i="1"/>
  <c r="H22" i="1"/>
  <c r="G23" i="1"/>
  <c r="H23" i="1" s="1"/>
  <c r="G24" i="1"/>
  <c r="H24" i="1" s="1"/>
  <c r="G25" i="1"/>
  <c r="H25" i="1" s="1"/>
  <c r="G26" i="1"/>
  <c r="H26" i="1" s="1"/>
  <c r="G27" i="1"/>
  <c r="H27" i="1"/>
  <c r="G28" i="1"/>
  <c r="H28" i="1"/>
  <c r="G29" i="1"/>
  <c r="H29" i="1" s="1"/>
  <c r="G30" i="1"/>
  <c r="H30" i="1" s="1"/>
  <c r="G31" i="1"/>
  <c r="H31" i="1" s="1"/>
  <c r="G32" i="1"/>
  <c r="H32" i="1" s="1"/>
  <c r="G33" i="1"/>
  <c r="H33" i="1"/>
  <c r="G34" i="1"/>
  <c r="H34" i="1"/>
  <c r="G35" i="1"/>
  <c r="H35" i="1" s="1"/>
  <c r="G36" i="1"/>
  <c r="H36" i="1" s="1"/>
  <c r="G37" i="1"/>
  <c r="H37" i="1" s="1"/>
  <c r="G38" i="1"/>
  <c r="H38" i="1" s="1"/>
  <c r="G39" i="1"/>
  <c r="H39" i="1"/>
  <c r="G40" i="1"/>
  <c r="H40" i="1"/>
  <c r="G41" i="1"/>
  <c r="H41" i="1" s="1"/>
  <c r="G42" i="1"/>
  <c r="H42" i="1" s="1"/>
  <c r="G43" i="1"/>
  <c r="H43" i="1" s="1"/>
  <c r="G44" i="1"/>
  <c r="H44" i="1" s="1"/>
  <c r="G45" i="1"/>
  <c r="H45" i="1"/>
  <c r="G46" i="1"/>
  <c r="H46" i="1"/>
  <c r="G47" i="1"/>
  <c r="H47" i="1" s="1"/>
  <c r="G48" i="1"/>
  <c r="H48" i="1" s="1"/>
  <c r="G49" i="1"/>
  <c r="H49" i="1" s="1"/>
  <c r="G50" i="1"/>
  <c r="H50" i="1" s="1"/>
  <c r="G51" i="1"/>
  <c r="H51" i="1"/>
  <c r="G52" i="1"/>
  <c r="H52" i="1"/>
  <c r="G53" i="1"/>
  <c r="H53" i="1" s="1"/>
  <c r="G54" i="1"/>
  <c r="H54" i="1" s="1"/>
  <c r="G55" i="1"/>
  <c r="H55" i="1" s="1"/>
  <c r="G56" i="1"/>
  <c r="H56" i="1" s="1"/>
  <c r="G57" i="1"/>
  <c r="H57" i="1"/>
  <c r="G58" i="1"/>
  <c r="H58" i="1"/>
  <c r="G59" i="1"/>
  <c r="H59" i="1" s="1"/>
  <c r="G60" i="1"/>
  <c r="H60" i="1" s="1"/>
  <c r="G61" i="1"/>
  <c r="H61" i="1" s="1"/>
  <c r="G62" i="1"/>
  <c r="H62" i="1" s="1"/>
  <c r="G63" i="1"/>
  <c r="H63" i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3" i="1"/>
  <c r="L2" i="1"/>
</calcChain>
</file>

<file path=xl/sharedStrings.xml><?xml version="1.0" encoding="utf-8"?>
<sst xmlns="http://schemas.openxmlformats.org/spreadsheetml/2006/main" count="1979" uniqueCount="342">
  <si>
    <t>#</t>
  </si>
  <si>
    <t>Nome do Aluno</t>
  </si>
  <si>
    <t>Plano (Nome)</t>
  </si>
  <si>
    <t>Frequência Atual</t>
  </si>
  <si>
    <t>Legado?</t>
  </si>
  <si>
    <t>Frequência Correta</t>
  </si>
  <si>
    <t>ABRAÃO MATOS DE TOLEDO</t>
  </si>
  <si>
    <t>Natação bebê</t>
  </si>
  <si>
    <t>Trimestral</t>
  </si>
  <si>
    <t>Não</t>
  </si>
  <si>
    <t>ADELIA CONTI</t>
  </si>
  <si>
    <t>Hidroginástica 3ª idade 2x na semana</t>
  </si>
  <si>
    <t>Mensal</t>
  </si>
  <si>
    <t>ADELINA MASINI DE OLIVEIRA</t>
  </si>
  <si>
    <t>ADEMIR JOSÉ DA SILVA</t>
  </si>
  <si>
    <t>Natação Infantil e Adulto 2x na semana</t>
  </si>
  <si>
    <t>?</t>
  </si>
  <si>
    <t>Sim</t>
  </si>
  <si>
    <t>ALDETE IZIDORO</t>
  </si>
  <si>
    <t>Hidroginástica 2x na semana</t>
  </si>
  <si>
    <t>ALEKSANDER GHANCOSCI TIBURCIO</t>
  </si>
  <si>
    <t xml:space="preserve">Natação bebê </t>
  </si>
  <si>
    <t>ALICE BUENO</t>
  </si>
  <si>
    <t>Natação Infantil e Adulto 1x na semana</t>
  </si>
  <si>
    <t>ALICE COSTA NOGUEIRA</t>
  </si>
  <si>
    <t>ALICIA PEREIRA DE OLIVEIRA CARDOSO</t>
  </si>
  <si>
    <t>Anual</t>
  </si>
  <si>
    <t>ALICIA REZENDE SOUZA</t>
  </si>
  <si>
    <t>ALLANA SOFIA SANTOS DE OLIVEIRA</t>
  </si>
  <si>
    <t>ANA CLARA NEVES BERTI</t>
  </si>
  <si>
    <t>Semestral</t>
  </si>
  <si>
    <t>ANA CLAUDIA FIRMINO DE CAMPOS</t>
  </si>
  <si>
    <t>ANA JULIA MESSIAS DO NASCIMENTO SANTOS</t>
  </si>
  <si>
    <t>ANA LAURA CARVALHO FERREIRA</t>
  </si>
  <si>
    <t>ANA PAULA MESSIAS NASCIMENTO</t>
  </si>
  <si>
    <t>ANA PAULA PAZINI DE AVILA</t>
  </si>
  <si>
    <t>ANDREIA CRISTINA DE FARIA</t>
  </si>
  <si>
    <t>ANNE MARGONARO GRANERO</t>
  </si>
  <si>
    <t>ANNIA BEATRIZ SANTOS DE OLIVEIRA</t>
  </si>
  <si>
    <t>Natação Infantil e Adulto 3x na semana</t>
  </si>
  <si>
    <t>ANNY MIRELLA DA SILVA</t>
  </si>
  <si>
    <t>ANTHONY GOMES CHOBA</t>
  </si>
  <si>
    <t>ANTONELLA DE LIMA SANTANA</t>
  </si>
  <si>
    <t>ANTONY FERREIRA RAMALHO RODRIGUES</t>
  </si>
  <si>
    <t>APARECIDA DE LOURDES VALENTE</t>
  </si>
  <si>
    <t>APARECIDA FELIZATTI OLIVATO</t>
  </si>
  <si>
    <t>Hidroginástica 3ª idade 3x na semana</t>
  </si>
  <si>
    <t>APARECIDA FERREITA MOSCA</t>
  </si>
  <si>
    <t>APARECIDA LUIZ DE ALCANTARA</t>
  </si>
  <si>
    <t>APARECIDA PETELUCCI DO CARMO</t>
  </si>
  <si>
    <t>ARIETE PEREIRA ANDRÉ</t>
  </si>
  <si>
    <t>ARISTOTELES BISPO MATEUS</t>
  </si>
  <si>
    <t>Hidroginástica 3ª idade 1x na semana</t>
  </si>
  <si>
    <t>ARTHUR DE SOUZA PAULO</t>
  </si>
  <si>
    <t>ARTHUR LUIZ MOREIRA</t>
  </si>
  <si>
    <t>ARTHUR PEREIRA DE OLIVEIRA CARDOSO</t>
  </si>
  <si>
    <t>AUGUSTO DAHER DO AMARAL</t>
  </si>
  <si>
    <t>AYLLA GOMES DE OLIVEIRA</t>
  </si>
  <si>
    <t>BEATRIZ APARECIDA DE JESUS SARZANO VIALTA</t>
  </si>
  <si>
    <t>BEATRIZ RODRIGUES ARAUJO</t>
  </si>
  <si>
    <t>BENEDITA APARECIDA DOS SANTOS SANCHEZ</t>
  </si>
  <si>
    <t>BENEDITA DIDIOLI</t>
  </si>
  <si>
    <t>BENICIO DE OLIVEIRA GUIRALDI</t>
  </si>
  <si>
    <t>BENJAMIN PRINCE OLIVEIRA DIAS</t>
  </si>
  <si>
    <t>BERNARDO SOARES ANDREO</t>
  </si>
  <si>
    <t>BIANCA BUENO BONFIM SERVIDONE</t>
  </si>
  <si>
    <t>BRAYAN MAXIMIANO OLIVEIRA</t>
  </si>
  <si>
    <t>BRAYAN RAMALHO</t>
  </si>
  <si>
    <t>BRAYNO RODRIGUES DE SOUZA</t>
  </si>
  <si>
    <t>BRENDA DE FREITAS SALES</t>
  </si>
  <si>
    <t>BRUNA FERNANDA BERTON DA SILVA</t>
  </si>
  <si>
    <t>CAIO ANDRADE GONÇALVES DA SILVA</t>
  </si>
  <si>
    <t>CAIO DA SILVA</t>
  </si>
  <si>
    <t>CARMELUCE RODRIGUES SANTANA</t>
  </si>
  <si>
    <t>CECILIA APARECIDA FERRETI SOUZA</t>
  </si>
  <si>
    <t>CESAR LUCENA SILVA</t>
  </si>
  <si>
    <t>CLAUDIA RENATA DOS SANTOS</t>
  </si>
  <si>
    <t>CONCEIÇÃO APARECIDA FERNANDES JERONIMO</t>
  </si>
  <si>
    <t>CRISTIANA FARIA PEIXOTO</t>
  </si>
  <si>
    <t>CRISTIANA MESSIAS DO NASCIMENTO</t>
  </si>
  <si>
    <t>CRISTIANA ROCHA DE ALMEIDA</t>
  </si>
  <si>
    <t>CUSTODIO LOPES MOURA</t>
  </si>
  <si>
    <t>DALVA PINTO</t>
  </si>
  <si>
    <t>DANIELE FERREIRA DA SILVA</t>
  </si>
  <si>
    <t>DAVI GABRIEL POSSANI OLIVEIRA</t>
  </si>
  <si>
    <t>DAVI HENRIQUE PEREIRA</t>
  </si>
  <si>
    <t>DIANA F. OLIVVEIRA</t>
  </si>
  <si>
    <t>EDNA FORTUNATO DE SOUZA</t>
  </si>
  <si>
    <t>EDNA SILVA PERES</t>
  </si>
  <si>
    <t>EDUARDA TOTOLI DE OLIVEIRA</t>
  </si>
  <si>
    <t>EDUARDO ANDRADE LUCIANO</t>
  </si>
  <si>
    <t>ELIZABETH FRANCISCA DE OLIVEIRA CASTRO</t>
  </si>
  <si>
    <t>ELOA DA PURIFICAÇÃO SOUZA</t>
  </si>
  <si>
    <t>ELOAH VITORIA SILVA SANCHES</t>
  </si>
  <si>
    <t>ELOÁ CAROLINE RODRIGUES DE OLIVEIRA</t>
  </si>
  <si>
    <t>EMANOELLY LARISSA OLIVEIRA</t>
  </si>
  <si>
    <t>EMANUELLY DUARTE SILVA TERRITO</t>
  </si>
  <si>
    <t>ENZO ESPINDOLA GALLI</t>
  </si>
  <si>
    <t>ENZO FELIPE AMORIM COSTA</t>
  </si>
  <si>
    <t>ENZO GABRIEL MACHADO PIRES</t>
  </si>
  <si>
    <t>ENZO GUSTAVO MOREIRA</t>
  </si>
  <si>
    <t>ENZO RAPHAEL SILVA FREDERICO</t>
  </si>
  <si>
    <t>ENZO RIBEIRO DOS SANTOS</t>
  </si>
  <si>
    <t>ESTER ARARUNA NUNES</t>
  </si>
  <si>
    <t>EVELLYN PALMEIRA DA SILVA QUEIROZ</t>
  </si>
  <si>
    <t>FABIO FERREIRA DA SILVA</t>
  </si>
  <si>
    <t>FATIMA NEGRI ANDREO</t>
  </si>
  <si>
    <t>FELIPE FERNANDES CARDOSO</t>
  </si>
  <si>
    <t>FERNANDO CHOBA</t>
  </si>
  <si>
    <t>FRANCELI FERREIRA LIMA</t>
  </si>
  <si>
    <t>FÁTIMA APARECIDA PINA POMIM</t>
  </si>
  <si>
    <t>GABRIELA DA SILVA DOS SANTOS</t>
  </si>
  <si>
    <t>GABRIELA DE SOUZA MATHIAS</t>
  </si>
  <si>
    <t>GAEL DA SILVA HONORATO</t>
  </si>
  <si>
    <t>GENI DE ALMEIDA SILVA</t>
  </si>
  <si>
    <t>GENY BOSA GOMES</t>
  </si>
  <si>
    <t>GIOVANA MAMED TREVISAN</t>
  </si>
  <si>
    <t>GUILHERME FELIPE DE PAULA GARCIA NERY</t>
  </si>
  <si>
    <t>GUSTAVO DA SILVA CAMPOS</t>
  </si>
  <si>
    <t>GUSTAVO PRATES DOS SANTOS</t>
  </si>
  <si>
    <t>HARRISON HENRIQUE CORREIA DA SILVA</t>
  </si>
  <si>
    <t>HEBER RIFATE DE CARVALHO</t>
  </si>
  <si>
    <t>HEITOR AMORIM DA SILVA SANTOS</t>
  </si>
  <si>
    <t>HEITOR LOURENZO RODRIGUES DE SOUZA</t>
  </si>
  <si>
    <t>HEITOR LUIZ MOREIRA</t>
  </si>
  <si>
    <t>HEITOR SOUZA E SILVA</t>
  </si>
  <si>
    <t>HELENA DE ALMEIDA FERREIRA</t>
  </si>
  <si>
    <t>HELENA GONÇALVES OLIVEIRA</t>
  </si>
  <si>
    <t>HELENA MARIA RABELO</t>
  </si>
  <si>
    <t>HELLENA DA SILVA QUEIROZ</t>
  </si>
  <si>
    <t>HENRIQUE GABRIEL DE SOUZA SIMENES</t>
  </si>
  <si>
    <t>HENRY RODRIGUES TOZATI</t>
  </si>
  <si>
    <t>HILARY DAGNE DE OLIVEIRA</t>
  </si>
  <si>
    <t>IDELVINA SIMONETTO</t>
  </si>
  <si>
    <t>INGRID BUGATTI ROCHA PEREIRA</t>
  </si>
  <si>
    <t>Natação Infantil e Adulto 4x na semana</t>
  </si>
  <si>
    <t>INÁCIA MARIA DO PRADO</t>
  </si>
  <si>
    <t>IRIS CHARLOTTE DA SILVA</t>
  </si>
  <si>
    <t>ISABELA BRUNELLI DISTASSI</t>
  </si>
  <si>
    <t>ISABELA PALMEIRA MOREIRA</t>
  </si>
  <si>
    <t>ISAEL FARIA</t>
  </si>
  <si>
    <t>ISIS RAMALHO DE OLIVEIRA</t>
  </si>
  <si>
    <t>ISIS SOUZA CHAVES</t>
  </si>
  <si>
    <t>IVANICE SILVA MATEUS</t>
  </si>
  <si>
    <t>IVANIR FERREIRA</t>
  </si>
  <si>
    <t>IZABELA FERRETTI DE SOUZA</t>
  </si>
  <si>
    <t>JOSEFA RODRIGUES SILVA DO NASCIMENTO</t>
  </si>
  <si>
    <t>JOSÉ CARLOS PEREIRA</t>
  </si>
  <si>
    <t>JOÃO FLORENZIANO DA CUNHA</t>
  </si>
  <si>
    <t>JOÃO GUILHERME BARBOSA VENTURATTO</t>
  </si>
  <si>
    <t>JOÃO PEDRO DA SILVA BASSAN</t>
  </si>
  <si>
    <t>JOÃO PEDRO SCANAVACCA LOURENÇO</t>
  </si>
  <si>
    <t>JULIA DOS SANTOS SOUZA SILVA</t>
  </si>
  <si>
    <t>JULIA FERNANDES DE SOUZA</t>
  </si>
  <si>
    <t>JULIA MARIA FERREIRA DE OLIVEIRA</t>
  </si>
  <si>
    <t>JULIANO PEREIRA DA SILVA</t>
  </si>
  <si>
    <t>Hidroginástica 3x na semana</t>
  </si>
  <si>
    <t>JUSSARA APARECIDA GONÇALVES</t>
  </si>
  <si>
    <t>JÉSSICA ALVES MACHADO</t>
  </si>
  <si>
    <t>KARINA DE ABREU MONTEIRO</t>
  </si>
  <si>
    <t>KAUE RODRIGUES FELIX</t>
  </si>
  <si>
    <t>LAIR DE OLIVEIRA DE PAULA</t>
  </si>
  <si>
    <t>LARA AMORIM DA SILVA</t>
  </si>
  <si>
    <t>LARISSA CHAVES MENESES</t>
  </si>
  <si>
    <t>LARISSA GONÇALVES CRISTINA DA SILVA</t>
  </si>
  <si>
    <t>LARISSA GOULART CAVALLARI</t>
  </si>
  <si>
    <t>LAURA BEATRIZ AMORIM BARROS</t>
  </si>
  <si>
    <t>LAURA GODOI GALHARDO NASCIMENTO</t>
  </si>
  <si>
    <t>LAURA HARUMI FORZON</t>
  </si>
  <si>
    <t>LAURENTINO DOS SANTOS</t>
  </si>
  <si>
    <t>LETICIA TERTO AZEVEDO</t>
  </si>
  <si>
    <t>LEVI ELOU ALVARES</t>
  </si>
  <si>
    <t>LIA DOS SANTOS PINTO</t>
  </si>
  <si>
    <t>LIDIA ALVES BUENO</t>
  </si>
  <si>
    <t>LIVIA GABRIELLE FELICIANO</t>
  </si>
  <si>
    <t>LIZ DE SOUZA GUERATO</t>
  </si>
  <si>
    <t>LORENA HIRATA DA SILVA</t>
  </si>
  <si>
    <t>LORENZO PUNCINELLI BRAGA</t>
  </si>
  <si>
    <t>LOURDES GOMES DE OLIVEIRA CARDOSO</t>
  </si>
  <si>
    <t>Hidroginástica 1x na semana</t>
  </si>
  <si>
    <t>LUAN EMANUEL PINTO PEREIRA</t>
  </si>
  <si>
    <t>LUCAS BRITO DAMINELLI</t>
  </si>
  <si>
    <t>LUCAS DAMASIO MOREIRA</t>
  </si>
  <si>
    <t>LUCAS LEVI TERTO AZEVEDO</t>
  </si>
  <si>
    <t>LUCAS SANTOS VIANA</t>
  </si>
  <si>
    <t>LUCIANO HENRIQUE VALADARES DE LIMA</t>
  </si>
  <si>
    <t>LUIZ ANTONIO DOS SANTOS</t>
  </si>
  <si>
    <t>LUIZ ANTONIO DOS SANTOS PINTO</t>
  </si>
  <si>
    <t>LUIZA BENEDITA DE ALMEIDA SILVA</t>
  </si>
  <si>
    <t>LUSIA SANTOS NUNES</t>
  </si>
  <si>
    <t>LUZINEIDE BASILIO DE OLIVEIRA</t>
  </si>
  <si>
    <t>LÍVIA HELENA SANTOS TEIXEIRA</t>
  </si>
  <si>
    <t>MANUELA MARTINS FRANCELINO DA SILV</t>
  </si>
  <si>
    <t>MARGARIDA PAIVA DE OLIVEIRA</t>
  </si>
  <si>
    <t>MARIA ANGELICA P. DA SILVA</t>
  </si>
  <si>
    <t>MARIA ANITA TENÓRIO FERREIRA</t>
  </si>
  <si>
    <t>MARIA ANTONELA RABELO BEZERRA DE SOUZA</t>
  </si>
  <si>
    <t>MARIA APARECIDA ALEXANDRINO SILVA</t>
  </si>
  <si>
    <t>MARIA APARECIDA FERREIRA DE SOUSA</t>
  </si>
  <si>
    <t>MARIA ATILIA BENEDITO DOS SANTOS</t>
  </si>
  <si>
    <t>MARIA DA PAIXÃO PINHEIRO MOURA</t>
  </si>
  <si>
    <t>MARIA DE FATIMA ZACARIAS DA SILVA</t>
  </si>
  <si>
    <t>MARIA DE LOURDES ALVES DA SILVA</t>
  </si>
  <si>
    <t>MARIA DE LOURDES FERREIRA PEDROSO</t>
  </si>
  <si>
    <t>MARIA DEOLINDA NOVAES</t>
  </si>
  <si>
    <t>MARIA DO CARMO DAS NEVES OLIVEIRA</t>
  </si>
  <si>
    <t>MARIA DO CARMO MARSAIOLI</t>
  </si>
  <si>
    <t>MARIA EDUARDA VALADÃO RAMOS</t>
  </si>
  <si>
    <t>MARIA EUNICE DE S. ANJOS</t>
  </si>
  <si>
    <t>MARIA FREIRE ANTONIO</t>
  </si>
  <si>
    <t>MARIA HELENA VITOR PINTO</t>
  </si>
  <si>
    <t>MARIA JESUS SILVA LOBO</t>
  </si>
  <si>
    <t>MARIA JOSÉ DE ALMEIDA DOS SANTOS</t>
  </si>
  <si>
    <t>MARIA JOSÉ DE OLIVEIRA</t>
  </si>
  <si>
    <t>MARIA LUIZA  BARBOSA STECA</t>
  </si>
  <si>
    <t>MARIA LUIZA SALLA</t>
  </si>
  <si>
    <t>MARIA NAZARÉ DA SILVA</t>
  </si>
  <si>
    <t>MARIA NAZARÉ FERREIRA DA SILVA</t>
  </si>
  <si>
    <t>MARIA ROCHA DA SILVA</t>
  </si>
  <si>
    <t>MARIAH DE SOUZA GUERATO</t>
  </si>
  <si>
    <t>MARIAH SOUZA RODRIGUES</t>
  </si>
  <si>
    <t>MARIAHA MARTA DE PAULA SILVA</t>
  </si>
  <si>
    <t>MARIANA MONTEIRO OLIVEIRA</t>
  </si>
  <si>
    <t>MARIANE DA SILVA SANTOS</t>
  </si>
  <si>
    <t>MARILCE BALTAZAR DOS SANTOS</t>
  </si>
  <si>
    <t>MARILDA MACEDO MACHADO</t>
  </si>
  <si>
    <t>MARINA ROCHA DE OLIVEIRA</t>
  </si>
  <si>
    <t>MARLENE PREREIRA LIMA</t>
  </si>
  <si>
    <t>MARLI SILVA DE AVILA</t>
  </si>
  <si>
    <t>MARTA MARIA PEREIRA LOPES</t>
  </si>
  <si>
    <t>MASSUKO AOKI DE ALCANTARA</t>
  </si>
  <si>
    <t>MATEUS HENRIQUE SILVA COTTA</t>
  </si>
  <si>
    <t>MATEUS LUIS DA SILVA STOCHE</t>
  </si>
  <si>
    <t>MATHEUS HENRIQUE F. MARTINS</t>
  </si>
  <si>
    <t>MATHEUS VIAN BRAZ</t>
  </si>
  <si>
    <t>MATTEO NUNES GUIMARÃES</t>
  </si>
  <si>
    <t>MEIRE SILVA COSTA OLIVEIRA</t>
  </si>
  <si>
    <t>MELQUISEDEQUE SOTARELLI LEITE</t>
  </si>
  <si>
    <t>MIGUEL ANDRADE CERQUEIRA</t>
  </si>
  <si>
    <t>MIGUEL DO SANTOS CAMARGO</t>
  </si>
  <si>
    <t>MIGUEL FERREIRA SANTOS</t>
  </si>
  <si>
    <t>MILENA APOLINARIO BUENO</t>
  </si>
  <si>
    <t>MILENA MENDES BRISTOTTI VIEIRA</t>
  </si>
  <si>
    <t>MIRELLA DOS SANTOS</t>
  </si>
  <si>
    <t>MOISÉS SAMUEL DAGA</t>
  </si>
  <si>
    <t>MONICA DA SILVA CAMILO</t>
  </si>
  <si>
    <t>MONICA DA SILVA SOUZA</t>
  </si>
  <si>
    <t>MORGANA SILVA</t>
  </si>
  <si>
    <t>MURILO DE LIMA SOFA</t>
  </si>
  <si>
    <t>MÁRCIA ADRIANA TEODORO</t>
  </si>
  <si>
    <t>MÁRCIA VALÉRIA DA COSTA FERREIRA</t>
  </si>
  <si>
    <t>NAJARA DOS ANJOS SILVA</t>
  </si>
  <si>
    <t>NATAN ROSA DE OLIVEIRA</t>
  </si>
  <si>
    <t>NATIELI LIMA LEONCIO</t>
  </si>
  <si>
    <t>NEIDE FELIPE SALDANHA</t>
  </si>
  <si>
    <t>NEUSA ANTONIA DE OLIVEIRA</t>
  </si>
  <si>
    <t>NEUSA APARECIDA PEREIRA DA SILVA</t>
  </si>
  <si>
    <t>NICOLAS TAVARES BARQUILA</t>
  </si>
  <si>
    <t>NILVA APARECIDA PAULINO</t>
  </si>
  <si>
    <t>OTAVIO MAGALHÃES MIRANDA</t>
  </si>
  <si>
    <t>PAULA CRISTINA SOTARELLI LEITE</t>
  </si>
  <si>
    <t>PEDRO GUILHERME DE OLIVEIRA REIS</t>
  </si>
  <si>
    <t>PETRUCIO FERREIRA DA SILVA</t>
  </si>
  <si>
    <t>PIETRA VICTORIA DOS SANTOS SILVA</t>
  </si>
  <si>
    <t>PIETRO LORENZO DANTAS DOS SANTOS</t>
  </si>
  <si>
    <t>RAISSA GONÇALVES DA SILVA</t>
  </si>
  <si>
    <t>RAYSSA RODRIGUES MADUREIRA</t>
  </si>
  <si>
    <t>REBECA ALVES DE JESUS</t>
  </si>
  <si>
    <t>REBECA FAUSTINO PEGORARI</t>
  </si>
  <si>
    <t>REGIANE DE SOUZA BUGATTI SANTOS</t>
  </si>
  <si>
    <t>REGINA ALEXANDRINO DE ASSIS</t>
  </si>
  <si>
    <t>REGINA ALVES DE LIMA</t>
  </si>
  <si>
    <t>RICARDO LUQUE GONÇALVES</t>
  </si>
  <si>
    <t>ROBERTA DANIELLE CORREA DOS SANTOS</t>
  </si>
  <si>
    <t>ROBERTO CELESTINO ALMEIDA</t>
  </si>
  <si>
    <t>ROBSON DE OLIVEIRA</t>
  </si>
  <si>
    <t>ROSA DE FREITAS PEREIRA BUENO</t>
  </si>
  <si>
    <t>ROSANGELA DE GODOY</t>
  </si>
  <si>
    <t>ROSEMEIRE ZOZORO DE SOUZA RONDINA</t>
  </si>
  <si>
    <t>SAMUEL ALMEIDA LEROIS</t>
  </si>
  <si>
    <t>SAMUEL DAGA</t>
  </si>
  <si>
    <t>SANDRA REGINA P DO LAGO</t>
  </si>
  <si>
    <t>SARAH MARTA DE PAULA SILVA</t>
  </si>
  <si>
    <t>SEBASTIÃO BATISTA DE OLIVEIRA FILHO</t>
  </si>
  <si>
    <t>SELMA CRISTINA CANOVA</t>
  </si>
  <si>
    <t>SILVANA MARQUES DE ALCANTARA MARTINS</t>
  </si>
  <si>
    <t>SILVELI TEREZINHA G. FARIA</t>
  </si>
  <si>
    <t>SONIA APARECIDA PONTEL</t>
  </si>
  <si>
    <t>SONIA MARINA DOS SANTOS</t>
  </si>
  <si>
    <t>SOPHIA DE SOUZA PAULO</t>
  </si>
  <si>
    <t>THALLYS HENRY RODRIGUES DIBOUT</t>
  </si>
  <si>
    <t>THEO ORNELAS QUEIROZ SILVA</t>
  </si>
  <si>
    <t>THEO TOSHIAKI FORZON ITOKADO</t>
  </si>
  <si>
    <t>VALDIRENE BRONZE MANCHAS BENETI</t>
  </si>
  <si>
    <t>VALDIRENE RODRIGUES RESENDE</t>
  </si>
  <si>
    <t>VANESSA MACENA DOS SANTOS</t>
  </si>
  <si>
    <t>VERA LUCIA FELIX FRANQUI</t>
  </si>
  <si>
    <t>VICENTINA AUXILIADORA DA SILVA PEREIRA</t>
  </si>
  <si>
    <t>VICTÓRIA PARDINHO CANCIO</t>
  </si>
  <si>
    <t>VILMA CAMILO</t>
  </si>
  <si>
    <t>VINICIUS JOSE DE BRITO</t>
  </si>
  <si>
    <t>VITORIA RAFAELA M RODRIGUES</t>
  </si>
  <si>
    <t>VITÓRIA LIZ</t>
  </si>
  <si>
    <t>VIVIAN DE LAZARA GAMONAL SANTOS</t>
  </si>
  <si>
    <t>VIVIANE CHIQUETO LIMA</t>
  </si>
  <si>
    <t>WALTER BACHEGA JUNIOR</t>
  </si>
  <si>
    <t>YOHANNA LILIAN MENDES MALHEIROS</t>
  </si>
  <si>
    <t>ZILDA OLIVEIRA MARTINEZ</t>
  </si>
  <si>
    <t>ZILDA VILELA MAROSTICA</t>
  </si>
  <si>
    <t>ÁLEX DE OLIVEIRA GABRIEL</t>
  </si>
  <si>
    <t>Legenda de Cores</t>
  </si>
  <si>
    <t>Aluno com plano e ID correto</t>
  </si>
  <si>
    <t>LEGADO — plano salvo como nome, sem ID (frequência desconhecida)</t>
  </si>
  <si>
    <t>Sem plano cadastrado</t>
  </si>
  <si>
    <t>Coluna para preenchimento da frequência correta</t>
  </si>
  <si>
    <t>S</t>
  </si>
  <si>
    <t>A</t>
  </si>
  <si>
    <t>M</t>
  </si>
  <si>
    <t xml:space="preserve"> A</t>
  </si>
  <si>
    <t>T</t>
  </si>
  <si>
    <t xml:space="preserve"> M</t>
  </si>
  <si>
    <t>ANUAL</t>
  </si>
  <si>
    <t>SAMUEL EDUARDO DOS S. CONSTÂNC</t>
  </si>
  <si>
    <t xml:space="preserve"> MARIA MADALENA R. DOS SANTOS</t>
  </si>
  <si>
    <t xml:space="preserve">INEZ ARAGAN </t>
  </si>
  <si>
    <t xml:space="preserve"> ENZO GUSTAVO MOREIRA </t>
  </si>
  <si>
    <t>VIVIAN GAMONEL</t>
  </si>
  <si>
    <t>VILMA MARIA GOMES</t>
  </si>
  <si>
    <t>MARIA ELENA GOMES</t>
  </si>
  <si>
    <t xml:space="preserve">JEOVÁ DOS REIS RODRIGUES </t>
  </si>
  <si>
    <t>MARIA EUNICE DE SOUZA ANJOS</t>
  </si>
  <si>
    <t>LUCCA GABRIEL SILVA DOS SANTOS</t>
  </si>
  <si>
    <t>TEREZA JESUS DA SILVA</t>
  </si>
  <si>
    <t>MARILIA  COELHO PAULINO</t>
  </si>
  <si>
    <t xml:space="preserve"> APARECIDA PETELUCI DO CARMO</t>
  </si>
  <si>
    <t>ALEX DE OLIVEIRA GABRIEL</t>
  </si>
  <si>
    <t>JULIA FERNANDES DOS SANTOS</t>
  </si>
  <si>
    <t>LUNNA ISABELLLA DA SILVA</t>
  </si>
  <si>
    <t>EDI APARECIDA DE OLIVEIRA</t>
  </si>
  <si>
    <t>NEVERSON BRAYNO RODRIGUES DE SOUZA</t>
  </si>
  <si>
    <t>LUCAS BRITO DAMINELLI (JÁ ERA ALUNO)</t>
  </si>
  <si>
    <t>FRANCISCA ROSANGELA DA C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</si>
</sst>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Calibri"/>
    </font>
    <font>
      <sz val="10"/>
      <name val="Calibri"/>
    </font>
    <font>
      <sz val="12"/>
      <color theme="1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2FF"/>
        <bgColor rgb="FFEEF2FF"/>
      </patternFill>
    </fill>
    <fill>
      <patternFill patternType="solid">
        <fgColor rgb="FFFFF2CC"/>
        <bgColor rgb="FFFFF2CC"/>
      </patternFill>
    </fill>
    <fill>
      <patternFill patternType="solid">
        <fgColor rgb="FFFFE0CC"/>
        <bgColor rgb="FFFFE0CC"/>
      </patternFill>
    </fill>
    <fill>
      <patternFill patternType="solid">
        <fgColor rgb="FFFFD7D7"/>
        <bgColor rgb="FFFFD7D7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2CC85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14" fontId="6" fillId="11" borderId="2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/>
    </xf>
    <xf numFmtId="14" fontId="5" fillId="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/>
    </xf>
    <xf numFmtId="0" fontId="5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5" fillId="17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8" fillId="13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/>
    </xf>
    <xf numFmtId="0" fontId="8" fillId="11" borderId="2" xfId="0" applyFont="1" applyFill="1" applyBorder="1" applyAlignment="1">
      <alignment vertical="center"/>
    </xf>
    <xf numFmtId="0" fontId="5" fillId="8" borderId="2" xfId="0" applyFont="1" applyFill="1" applyBorder="1"/>
    <xf numFmtId="0" fontId="5" fillId="13" borderId="2" xfId="0" applyFont="1" applyFill="1" applyBorder="1"/>
    <xf numFmtId="0" fontId="5" fillId="10" borderId="2" xfId="0" applyFont="1" applyFill="1" applyBorder="1"/>
    <xf numFmtId="0" fontId="5" fillId="12" borderId="2" xfId="0" applyFont="1" applyFill="1" applyBorder="1"/>
    <xf numFmtId="0" fontId="5" fillId="9" borderId="2" xfId="0" applyFont="1" applyFill="1" applyBorder="1"/>
    <xf numFmtId="0" fontId="5" fillId="11" borderId="2" xfId="0" applyFont="1" applyFill="1" applyBorder="1"/>
    <xf numFmtId="0" fontId="2" fillId="3" borderId="2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6"/>
  <sheetViews>
    <sheetView tabSelected="1" workbookViewId="0">
      <pane ySplit="1" topLeftCell="A262" activePane="bottomLeft" state="frozen"/>
      <selection pane="bottomLeft" activeCell="F281" sqref="F281"/>
    </sheetView>
  </sheetViews>
  <sheetFormatPr defaultRowHeight="15" x14ac:dyDescent="0.25"/>
  <cols>
    <col min="1" max="1" width="5" customWidth="1"/>
    <col min="2" max="2" width="47.140625" bestFit="1" customWidth="1"/>
    <col min="3" max="3" width="42" customWidth="1"/>
    <col min="4" max="4" width="18" customWidth="1"/>
    <col min="5" max="5" width="12" customWidth="1"/>
    <col min="6" max="6" width="12.42578125" bestFit="1" customWidth="1"/>
    <col min="7" max="7" width="10" bestFit="1" customWidth="1"/>
    <col min="8" max="8" width="10.42578125" bestFit="1" customWidth="1"/>
    <col min="10" max="10" width="67.42578125" bestFit="1" customWidth="1"/>
    <col min="12" max="12" width="9.85546875" bestFit="1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7" ht="18" customHeight="1" x14ac:dyDescent="0.2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66" t="s">
        <v>8</v>
      </c>
      <c r="G2" t="e">
        <f>VLOOKUP(B2,$J$2:$L$276,3,FALSE)</f>
        <v>#N/A</v>
      </c>
      <c r="H2" t="e">
        <f>IF(D2=G2,"IGUAL","DIFERENTE")</f>
        <v>#N/A</v>
      </c>
      <c r="J2" s="36" t="s">
        <v>334</v>
      </c>
      <c r="K2" s="15" t="s">
        <v>317</v>
      </c>
      <c r="L2" t="str">
        <f>VLOOKUP(K2,$O$3:$P$11,2)</f>
        <v>Mensal</v>
      </c>
    </row>
    <row r="3" spans="1:17" ht="18" customHeight="1" x14ac:dyDescent="0.25">
      <c r="A3" s="4">
        <v>2</v>
      </c>
      <c r="B3" s="5" t="s">
        <v>10</v>
      </c>
      <c r="C3" s="4" t="s">
        <v>11</v>
      </c>
      <c r="D3" s="4" t="s">
        <v>12</v>
      </c>
      <c r="E3" s="4" t="s">
        <v>9</v>
      </c>
      <c r="F3" s="66" t="s">
        <v>12</v>
      </c>
      <c r="G3" t="str">
        <f>VLOOKUP(B3,$J$2:$L$276,3,FALSE)</f>
        <v>Mensal</v>
      </c>
      <c r="H3" t="str">
        <f t="shared" ref="H3:H66" si="0">IF(D3=G3,"IGUAL","DIFERENTE")</f>
        <v>IGUAL</v>
      </c>
      <c r="J3" s="37" t="s">
        <v>325</v>
      </c>
      <c r="K3" s="16" t="s">
        <v>317</v>
      </c>
      <c r="L3" t="str">
        <f>VLOOKUP(K3,$O$3:$P$11,2,FALSE)</f>
        <v>Mensal</v>
      </c>
      <c r="O3" s="14" t="s">
        <v>315</v>
      </c>
      <c r="P3" s="2" t="s">
        <v>30</v>
      </c>
    </row>
    <row r="4" spans="1:17" ht="18" customHeight="1" x14ac:dyDescent="0.25">
      <c r="A4" s="2">
        <v>3</v>
      </c>
      <c r="B4" s="3" t="s">
        <v>13</v>
      </c>
      <c r="C4" s="2" t="s">
        <v>11</v>
      </c>
      <c r="D4" s="2" t="s">
        <v>12</v>
      </c>
      <c r="E4" s="2" t="s">
        <v>9</v>
      </c>
      <c r="F4" s="66" t="s">
        <v>12</v>
      </c>
      <c r="G4" t="str">
        <f t="shared" ref="G4:G66" si="1">VLOOKUP(B4,$J$2:$L$276,3,FALSE)</f>
        <v>Mensal</v>
      </c>
      <c r="H4" t="str">
        <f t="shared" si="0"/>
        <v>IGUAL</v>
      </c>
      <c r="J4" s="39" t="s">
        <v>323</v>
      </c>
      <c r="K4" s="18" t="s">
        <v>316</v>
      </c>
      <c r="L4" t="str">
        <f t="shared" ref="L4:L67" si="2">VLOOKUP(K4,$O$3:$P$11,2,FALSE)</f>
        <v>Anual</v>
      </c>
      <c r="O4" s="15" t="s">
        <v>316</v>
      </c>
      <c r="P4" s="2" t="s">
        <v>26</v>
      </c>
    </row>
    <row r="5" spans="1:17" ht="18" customHeight="1" x14ac:dyDescent="0.25">
      <c r="A5" s="6">
        <v>4</v>
      </c>
      <c r="B5" s="7" t="s">
        <v>14</v>
      </c>
      <c r="C5" s="6" t="s">
        <v>15</v>
      </c>
      <c r="D5" s="6" t="s">
        <v>16</v>
      </c>
      <c r="E5" s="6" t="s">
        <v>17</v>
      </c>
      <c r="F5" s="66" t="s">
        <v>12</v>
      </c>
      <c r="G5" t="str">
        <f t="shared" si="1"/>
        <v>Mensal</v>
      </c>
      <c r="H5" t="str">
        <f t="shared" si="0"/>
        <v>DIFERENTE</v>
      </c>
      <c r="J5" s="65" t="s">
        <v>10</v>
      </c>
      <c r="K5" s="15" t="s">
        <v>317</v>
      </c>
      <c r="L5" t="str">
        <f t="shared" si="2"/>
        <v>Mensal</v>
      </c>
      <c r="O5" s="16" t="s">
        <v>317</v>
      </c>
      <c r="P5" t="s">
        <v>12</v>
      </c>
    </row>
    <row r="6" spans="1:17" ht="18" customHeight="1" x14ac:dyDescent="0.25">
      <c r="A6" s="6">
        <v>5</v>
      </c>
      <c r="B6" s="7" t="s">
        <v>18</v>
      </c>
      <c r="C6" s="6" t="s">
        <v>19</v>
      </c>
      <c r="D6" s="6" t="s">
        <v>16</v>
      </c>
      <c r="E6" s="6" t="s">
        <v>17</v>
      </c>
      <c r="F6" s="66" t="s">
        <v>8</v>
      </c>
      <c r="G6" t="str">
        <f t="shared" si="1"/>
        <v>Trimestral</v>
      </c>
      <c r="H6" t="str">
        <f t="shared" si="0"/>
        <v>DIFERENTE</v>
      </c>
      <c r="J6" s="64" t="s">
        <v>13</v>
      </c>
      <c r="K6" s="16" t="s">
        <v>317</v>
      </c>
      <c r="L6" t="str">
        <f t="shared" si="2"/>
        <v>Mensal</v>
      </c>
      <c r="O6" s="18" t="s">
        <v>318</v>
      </c>
      <c r="P6" s="2" t="s">
        <v>26</v>
      </c>
    </row>
    <row r="7" spans="1:17" ht="18" customHeight="1" x14ac:dyDescent="0.25">
      <c r="A7" s="4">
        <v>6</v>
      </c>
      <c r="B7" s="5" t="s">
        <v>20</v>
      </c>
      <c r="C7" s="4" t="s">
        <v>21</v>
      </c>
      <c r="D7" s="4" t="s">
        <v>12</v>
      </c>
      <c r="E7" s="4" t="s">
        <v>9</v>
      </c>
      <c r="F7" s="66" t="s">
        <v>12</v>
      </c>
      <c r="G7" t="str">
        <f t="shared" si="1"/>
        <v>Mensal</v>
      </c>
      <c r="H7" t="str">
        <f t="shared" si="0"/>
        <v>IGUAL</v>
      </c>
      <c r="J7" s="46" t="s">
        <v>14</v>
      </c>
      <c r="K7" s="19" t="s">
        <v>317</v>
      </c>
      <c r="L7" t="str">
        <f t="shared" si="2"/>
        <v>Mensal</v>
      </c>
      <c r="O7" s="20" t="s">
        <v>315</v>
      </c>
      <c r="P7" s="2" t="s">
        <v>30</v>
      </c>
      <c r="Q7" s="2" t="s">
        <v>30</v>
      </c>
    </row>
    <row r="8" spans="1:17" ht="18" customHeight="1" x14ac:dyDescent="0.25">
      <c r="A8" s="2">
        <v>7</v>
      </c>
      <c r="B8" s="3" t="s">
        <v>22</v>
      </c>
      <c r="C8" s="2" t="s">
        <v>23</v>
      </c>
      <c r="D8" s="2" t="s">
        <v>12</v>
      </c>
      <c r="E8" s="2" t="s">
        <v>9</v>
      </c>
      <c r="F8" s="66" t="s">
        <v>12</v>
      </c>
      <c r="G8" t="str">
        <f t="shared" si="1"/>
        <v>Mensal</v>
      </c>
      <c r="H8" t="str">
        <f t="shared" si="0"/>
        <v>IGUAL</v>
      </c>
      <c r="J8" s="47" t="s">
        <v>18</v>
      </c>
      <c r="K8" s="20" t="s">
        <v>319</v>
      </c>
      <c r="L8" t="str">
        <f t="shared" si="2"/>
        <v>Trimestral</v>
      </c>
      <c r="O8" s="15">
        <v>1</v>
      </c>
    </row>
    <row r="9" spans="1:17" ht="18" customHeight="1" x14ac:dyDescent="0.25">
      <c r="A9" s="4">
        <v>8</v>
      </c>
      <c r="B9" s="5" t="s">
        <v>24</v>
      </c>
      <c r="C9" s="4" t="s">
        <v>7</v>
      </c>
      <c r="D9" s="4" t="s">
        <v>8</v>
      </c>
      <c r="E9" s="4" t="s">
        <v>9</v>
      </c>
      <c r="F9" s="66" t="s">
        <v>8</v>
      </c>
      <c r="G9" t="e">
        <f t="shared" si="1"/>
        <v>#N/A</v>
      </c>
      <c r="H9" t="e">
        <f t="shared" si="0"/>
        <v>#N/A</v>
      </c>
      <c r="J9" s="5" t="s">
        <v>20</v>
      </c>
      <c r="K9" s="15" t="s">
        <v>317</v>
      </c>
      <c r="L9" t="str">
        <f t="shared" si="2"/>
        <v>Mensal</v>
      </c>
      <c r="O9" s="20" t="s">
        <v>319</v>
      </c>
      <c r="P9" s="4" t="s">
        <v>8</v>
      </c>
    </row>
    <row r="10" spans="1:17" ht="18" customHeight="1" x14ac:dyDescent="0.25">
      <c r="A10" s="2">
        <v>9</v>
      </c>
      <c r="B10" s="3" t="s">
        <v>25</v>
      </c>
      <c r="C10" s="2" t="s">
        <v>23</v>
      </c>
      <c r="D10" s="2" t="s">
        <v>26</v>
      </c>
      <c r="E10" s="2" t="s">
        <v>9</v>
      </c>
      <c r="F10" s="66" t="s">
        <v>26</v>
      </c>
      <c r="G10" t="str">
        <f t="shared" si="1"/>
        <v>Anual</v>
      </c>
      <c r="H10" t="str">
        <f t="shared" si="0"/>
        <v>IGUAL</v>
      </c>
      <c r="J10" s="37" t="s">
        <v>335</v>
      </c>
      <c r="K10" s="16" t="s">
        <v>317</v>
      </c>
      <c r="L10" t="str">
        <f t="shared" si="2"/>
        <v>Mensal</v>
      </c>
      <c r="O10" s="23" t="s">
        <v>320</v>
      </c>
      <c r="P10" t="s">
        <v>12</v>
      </c>
    </row>
    <row r="11" spans="1:17" ht="18" customHeight="1" x14ac:dyDescent="0.25">
      <c r="A11" s="4">
        <v>10</v>
      </c>
      <c r="B11" s="5" t="s">
        <v>27</v>
      </c>
      <c r="C11" s="4" t="s">
        <v>23</v>
      </c>
      <c r="D11" s="4" t="s">
        <v>12</v>
      </c>
      <c r="E11" s="4" t="s">
        <v>9</v>
      </c>
      <c r="F11" s="66" t="s">
        <v>12</v>
      </c>
      <c r="G11" t="str">
        <f t="shared" si="1"/>
        <v>Mensal</v>
      </c>
      <c r="H11" t="str">
        <f t="shared" si="0"/>
        <v>IGUAL</v>
      </c>
      <c r="J11" s="50" t="s">
        <v>22</v>
      </c>
      <c r="K11" s="15" t="s">
        <v>317</v>
      </c>
      <c r="L11" t="str">
        <f t="shared" si="2"/>
        <v>Mensal</v>
      </c>
      <c r="O11" s="20" t="s">
        <v>321</v>
      </c>
      <c r="P11" s="2" t="s">
        <v>26</v>
      </c>
    </row>
    <row r="12" spans="1:17" ht="18" customHeight="1" x14ac:dyDescent="0.25">
      <c r="A12" s="2">
        <v>11</v>
      </c>
      <c r="B12" s="3" t="s">
        <v>28</v>
      </c>
      <c r="C12" s="2" t="s">
        <v>15</v>
      </c>
      <c r="D12" s="2" t="s">
        <v>12</v>
      </c>
      <c r="E12" s="2" t="s">
        <v>9</v>
      </c>
      <c r="F12" s="66" t="s">
        <v>30</v>
      </c>
      <c r="G12" t="str">
        <f t="shared" si="1"/>
        <v>Semestral</v>
      </c>
      <c r="H12" t="str">
        <f t="shared" si="0"/>
        <v>DIFERENTE</v>
      </c>
      <c r="J12" s="42" t="s">
        <v>25</v>
      </c>
      <c r="K12" s="20" t="s">
        <v>316</v>
      </c>
      <c r="L12" t="str">
        <f t="shared" si="2"/>
        <v>Anual</v>
      </c>
      <c r="O12" s="31"/>
    </row>
    <row r="13" spans="1:17" ht="18" customHeight="1" x14ac:dyDescent="0.25">
      <c r="A13" s="4">
        <v>12</v>
      </c>
      <c r="B13" s="5" t="s">
        <v>29</v>
      </c>
      <c r="C13" s="4" t="s">
        <v>23</v>
      </c>
      <c r="D13" s="4" t="s">
        <v>30</v>
      </c>
      <c r="E13" s="4" t="s">
        <v>9</v>
      </c>
      <c r="F13" s="66" t="s">
        <v>12</v>
      </c>
      <c r="G13" t="str">
        <f t="shared" si="1"/>
        <v>Mensal</v>
      </c>
      <c r="H13" t="str">
        <f t="shared" si="0"/>
        <v>DIFERENTE</v>
      </c>
      <c r="J13" s="36" t="s">
        <v>27</v>
      </c>
      <c r="K13" s="15" t="s">
        <v>317</v>
      </c>
      <c r="L13" t="str">
        <f t="shared" si="2"/>
        <v>Mensal</v>
      </c>
    </row>
    <row r="14" spans="1:17" ht="18" customHeight="1" x14ac:dyDescent="0.25">
      <c r="A14" s="2">
        <v>13</v>
      </c>
      <c r="B14" s="3" t="s">
        <v>31</v>
      </c>
      <c r="C14" s="2" t="s">
        <v>19</v>
      </c>
      <c r="D14" s="2" t="s">
        <v>12</v>
      </c>
      <c r="E14" s="2" t="s">
        <v>9</v>
      </c>
      <c r="F14" s="66" t="s">
        <v>30</v>
      </c>
      <c r="G14" t="str">
        <f t="shared" si="1"/>
        <v>Semestral</v>
      </c>
      <c r="H14" t="str">
        <f t="shared" si="0"/>
        <v>DIFERENTE</v>
      </c>
      <c r="J14" s="3" t="s">
        <v>28</v>
      </c>
      <c r="K14" s="20" t="s">
        <v>315</v>
      </c>
      <c r="L14" t="str">
        <f t="shared" si="2"/>
        <v>Semestral</v>
      </c>
    </row>
    <row r="15" spans="1:17" ht="18" customHeight="1" x14ac:dyDescent="0.25">
      <c r="A15" s="4">
        <v>14</v>
      </c>
      <c r="B15" s="5" t="s">
        <v>32</v>
      </c>
      <c r="C15" s="4" t="s">
        <v>23</v>
      </c>
      <c r="D15" s="4" t="s">
        <v>12</v>
      </c>
      <c r="E15" s="4" t="s">
        <v>9</v>
      </c>
      <c r="F15" s="66" t="s">
        <v>12</v>
      </c>
      <c r="G15" t="str">
        <f t="shared" si="1"/>
        <v>Mensal</v>
      </c>
      <c r="H15" t="str">
        <f t="shared" si="0"/>
        <v>IGUAL</v>
      </c>
      <c r="J15" s="3" t="s">
        <v>31</v>
      </c>
      <c r="K15" s="31" t="s">
        <v>315</v>
      </c>
      <c r="L15" t="str">
        <f t="shared" si="2"/>
        <v>Semestral</v>
      </c>
    </row>
    <row r="16" spans="1:17" ht="18" customHeight="1" x14ac:dyDescent="0.25">
      <c r="A16" s="2">
        <v>15</v>
      </c>
      <c r="B16" s="3" t="s">
        <v>33</v>
      </c>
      <c r="C16" s="2" t="s">
        <v>23</v>
      </c>
      <c r="D16" s="2" t="s">
        <v>30</v>
      </c>
      <c r="E16" s="2" t="s">
        <v>9</v>
      </c>
      <c r="F16" s="66" t="s">
        <v>12</v>
      </c>
      <c r="G16" t="str">
        <f t="shared" si="1"/>
        <v>Mensal</v>
      </c>
      <c r="H16" t="str">
        <f t="shared" si="0"/>
        <v>DIFERENTE</v>
      </c>
      <c r="J16" s="36" t="s">
        <v>29</v>
      </c>
      <c r="K16" s="15" t="s">
        <v>317</v>
      </c>
      <c r="L16" t="str">
        <f t="shared" si="2"/>
        <v>Mensal</v>
      </c>
    </row>
    <row r="17" spans="1:12" ht="18" customHeight="1" x14ac:dyDescent="0.25">
      <c r="A17" s="6">
        <v>16</v>
      </c>
      <c r="B17" s="7" t="s">
        <v>34</v>
      </c>
      <c r="C17" s="6" t="s">
        <v>15</v>
      </c>
      <c r="D17" s="6" t="s">
        <v>16</v>
      </c>
      <c r="E17" s="6" t="s">
        <v>17</v>
      </c>
      <c r="F17" s="66" t="s">
        <v>12</v>
      </c>
      <c r="G17" t="str">
        <f t="shared" si="1"/>
        <v>Mensal</v>
      </c>
      <c r="H17" t="str">
        <f t="shared" si="0"/>
        <v>DIFERENTE</v>
      </c>
      <c r="J17" s="5" t="s">
        <v>32</v>
      </c>
      <c r="K17" s="16" t="s">
        <v>317</v>
      </c>
      <c r="L17" t="str">
        <f t="shared" si="2"/>
        <v>Mensal</v>
      </c>
    </row>
    <row r="18" spans="1:12" ht="18" customHeight="1" x14ac:dyDescent="0.25">
      <c r="A18" s="2">
        <v>17</v>
      </c>
      <c r="B18" s="3" t="s">
        <v>35</v>
      </c>
      <c r="C18" s="2" t="s">
        <v>15</v>
      </c>
      <c r="D18" s="2" t="s">
        <v>8</v>
      </c>
      <c r="E18" s="2" t="s">
        <v>9</v>
      </c>
      <c r="F18" s="66" t="s">
        <v>8</v>
      </c>
      <c r="G18" t="e">
        <f t="shared" si="1"/>
        <v>#N/A</v>
      </c>
      <c r="H18" t="e">
        <f t="shared" si="0"/>
        <v>#N/A</v>
      </c>
      <c r="J18" s="50" t="s">
        <v>33</v>
      </c>
      <c r="K18" s="15" t="s">
        <v>317</v>
      </c>
      <c r="L18" t="str">
        <f t="shared" si="2"/>
        <v>Mensal</v>
      </c>
    </row>
    <row r="19" spans="1:12" ht="18" customHeight="1" x14ac:dyDescent="0.25">
      <c r="A19" s="4">
        <v>18</v>
      </c>
      <c r="B19" s="5" t="s">
        <v>36</v>
      </c>
      <c r="C19" s="4" t="s">
        <v>23</v>
      </c>
      <c r="D19" s="4" t="s">
        <v>26</v>
      </c>
      <c r="E19" s="4" t="s">
        <v>9</v>
      </c>
      <c r="F19" s="66" t="s">
        <v>26</v>
      </c>
      <c r="G19" t="str">
        <f t="shared" si="1"/>
        <v>Anual</v>
      </c>
      <c r="H19" t="str">
        <f t="shared" si="0"/>
        <v>IGUAL</v>
      </c>
      <c r="J19" s="7" t="s">
        <v>34</v>
      </c>
      <c r="K19" s="19" t="s">
        <v>317</v>
      </c>
      <c r="L19" t="str">
        <f t="shared" si="2"/>
        <v>Mensal</v>
      </c>
    </row>
    <row r="20" spans="1:12" ht="18" customHeight="1" x14ac:dyDescent="0.25">
      <c r="A20" s="2">
        <v>19</v>
      </c>
      <c r="B20" s="3" t="s">
        <v>37</v>
      </c>
      <c r="C20" s="2" t="s">
        <v>23</v>
      </c>
      <c r="D20" s="2" t="s">
        <v>30</v>
      </c>
      <c r="E20" s="2" t="s">
        <v>9</v>
      </c>
      <c r="F20" s="66" t="s">
        <v>12</v>
      </c>
      <c r="G20" t="str">
        <f t="shared" si="1"/>
        <v>Mensal</v>
      </c>
      <c r="H20" t="str">
        <f t="shared" si="0"/>
        <v>DIFERENTE</v>
      </c>
      <c r="J20" s="47" t="s">
        <v>36</v>
      </c>
      <c r="K20" s="20" t="s">
        <v>316</v>
      </c>
      <c r="L20" t="str">
        <f t="shared" si="2"/>
        <v>Anual</v>
      </c>
    </row>
    <row r="21" spans="1:12" ht="18" customHeight="1" x14ac:dyDescent="0.25">
      <c r="A21" s="4">
        <v>20</v>
      </c>
      <c r="B21" s="5" t="s">
        <v>38</v>
      </c>
      <c r="C21" s="4" t="s">
        <v>39</v>
      </c>
      <c r="D21" s="4" t="s">
        <v>12</v>
      </c>
      <c r="E21" s="4" t="s">
        <v>9</v>
      </c>
      <c r="F21" s="66" t="s">
        <v>30</v>
      </c>
      <c r="G21" t="str">
        <f t="shared" si="1"/>
        <v>Semestral</v>
      </c>
      <c r="H21" t="str">
        <f t="shared" si="0"/>
        <v>DIFERENTE</v>
      </c>
      <c r="J21" s="36" t="s">
        <v>37</v>
      </c>
      <c r="K21" s="15" t="s">
        <v>317</v>
      </c>
      <c r="L21" t="str">
        <f t="shared" si="2"/>
        <v>Mensal</v>
      </c>
    </row>
    <row r="22" spans="1:12" ht="18" customHeight="1" x14ac:dyDescent="0.25">
      <c r="A22" s="2">
        <v>21</v>
      </c>
      <c r="B22" s="3" t="s">
        <v>40</v>
      </c>
      <c r="C22" s="2" t="s">
        <v>23</v>
      </c>
      <c r="D22" s="2" t="s">
        <v>12</v>
      </c>
      <c r="E22" s="2" t="s">
        <v>9</v>
      </c>
      <c r="F22" s="66" t="s">
        <v>12</v>
      </c>
      <c r="G22" t="str">
        <f t="shared" si="1"/>
        <v>Mensal</v>
      </c>
      <c r="H22" t="str">
        <f t="shared" si="0"/>
        <v>IGUAL</v>
      </c>
      <c r="J22" s="47" t="s">
        <v>38</v>
      </c>
      <c r="K22" s="20" t="s">
        <v>315</v>
      </c>
      <c r="L22" t="str">
        <f t="shared" si="2"/>
        <v>Semestral</v>
      </c>
    </row>
    <row r="23" spans="1:12" ht="18" customHeight="1" x14ac:dyDescent="0.25">
      <c r="A23" s="4">
        <v>22</v>
      </c>
      <c r="B23" s="5" t="s">
        <v>41</v>
      </c>
      <c r="C23" s="4" t="s">
        <v>23</v>
      </c>
      <c r="D23" s="4" t="s">
        <v>26</v>
      </c>
      <c r="E23" s="4" t="s">
        <v>9</v>
      </c>
      <c r="F23" s="66" t="s">
        <v>26</v>
      </c>
      <c r="G23" t="str">
        <f t="shared" si="1"/>
        <v>Anual</v>
      </c>
      <c r="H23" t="str">
        <f t="shared" si="0"/>
        <v>IGUAL</v>
      </c>
      <c r="J23" s="50" t="s">
        <v>40</v>
      </c>
      <c r="K23" s="15" t="s">
        <v>317</v>
      </c>
      <c r="L23" t="str">
        <f t="shared" si="2"/>
        <v>Mensal</v>
      </c>
    </row>
    <row r="24" spans="1:12" ht="18" customHeight="1" x14ac:dyDescent="0.25">
      <c r="A24" s="2">
        <v>23</v>
      </c>
      <c r="B24" s="3" t="s">
        <v>42</v>
      </c>
      <c r="C24" s="2" t="s">
        <v>21</v>
      </c>
      <c r="D24" s="2" t="s">
        <v>30</v>
      </c>
      <c r="E24" s="2" t="s">
        <v>9</v>
      </c>
      <c r="F24" s="66" t="s">
        <v>8</v>
      </c>
      <c r="G24" t="e">
        <f t="shared" si="1"/>
        <v>#N/A</v>
      </c>
      <c r="H24" t="e">
        <f t="shared" si="0"/>
        <v>#N/A</v>
      </c>
      <c r="J24" s="50" t="s">
        <v>43</v>
      </c>
      <c r="K24" s="15" t="s">
        <v>317</v>
      </c>
      <c r="L24" t="str">
        <f t="shared" si="2"/>
        <v>Mensal</v>
      </c>
    </row>
    <row r="25" spans="1:12" ht="18" customHeight="1" x14ac:dyDescent="0.25">
      <c r="A25" s="4">
        <v>24</v>
      </c>
      <c r="B25" s="5" t="s">
        <v>43</v>
      </c>
      <c r="C25" s="4" t="s">
        <v>7</v>
      </c>
      <c r="D25" s="4" t="s">
        <v>8</v>
      </c>
      <c r="E25" s="4" t="s">
        <v>9</v>
      </c>
      <c r="F25" s="66" t="s">
        <v>12</v>
      </c>
      <c r="G25" t="str">
        <f t="shared" si="1"/>
        <v>Mensal</v>
      </c>
      <c r="H25" t="str">
        <f t="shared" si="0"/>
        <v>DIFERENTE</v>
      </c>
      <c r="J25" s="38" t="s">
        <v>41</v>
      </c>
      <c r="K25" s="17" t="s">
        <v>316</v>
      </c>
      <c r="L25" t="str">
        <f t="shared" si="2"/>
        <v>Anual</v>
      </c>
    </row>
    <row r="26" spans="1:12" ht="18" customHeight="1" x14ac:dyDescent="0.25">
      <c r="A26" s="2">
        <v>25</v>
      </c>
      <c r="B26" s="3" t="s">
        <v>44</v>
      </c>
      <c r="C26" s="2" t="s">
        <v>23</v>
      </c>
      <c r="D26" s="2" t="s">
        <v>12</v>
      </c>
      <c r="E26" s="2" t="s">
        <v>9</v>
      </c>
      <c r="F26" s="66" t="s">
        <v>12</v>
      </c>
      <c r="G26" t="str">
        <f t="shared" si="1"/>
        <v>Mensal</v>
      </c>
      <c r="H26" t="str">
        <f t="shared" si="0"/>
        <v>IGUAL</v>
      </c>
      <c r="J26" s="50" t="s">
        <v>44</v>
      </c>
      <c r="K26" s="15" t="s">
        <v>317</v>
      </c>
      <c r="L26" t="str">
        <f t="shared" si="2"/>
        <v>Mensal</v>
      </c>
    </row>
    <row r="27" spans="1:12" ht="18" customHeight="1" x14ac:dyDescent="0.25">
      <c r="A27" s="4">
        <v>26</v>
      </c>
      <c r="B27" s="5" t="s">
        <v>45</v>
      </c>
      <c r="C27" s="4" t="s">
        <v>46</v>
      </c>
      <c r="D27" s="4" t="s">
        <v>12</v>
      </c>
      <c r="E27" s="4" t="s">
        <v>9</v>
      </c>
      <c r="F27" s="66" t="s">
        <v>12</v>
      </c>
      <c r="G27" t="str">
        <f t="shared" si="1"/>
        <v>Mensal</v>
      </c>
      <c r="H27" t="str">
        <f t="shared" si="0"/>
        <v>IGUAL</v>
      </c>
      <c r="J27" s="36" t="s">
        <v>45</v>
      </c>
      <c r="K27" s="15" t="s">
        <v>317</v>
      </c>
      <c r="L27" t="str">
        <f t="shared" si="2"/>
        <v>Mensal</v>
      </c>
    </row>
    <row r="28" spans="1:12" ht="18" customHeight="1" x14ac:dyDescent="0.25">
      <c r="A28" s="2">
        <v>27</v>
      </c>
      <c r="B28" s="3" t="s">
        <v>47</v>
      </c>
      <c r="C28" s="2" t="s">
        <v>46</v>
      </c>
      <c r="D28" s="2" t="s">
        <v>12</v>
      </c>
      <c r="E28" s="2" t="s">
        <v>9</v>
      </c>
      <c r="F28" s="66" t="s">
        <v>12</v>
      </c>
      <c r="G28" t="str">
        <f t="shared" si="1"/>
        <v>Mensal</v>
      </c>
      <c r="H28" t="str">
        <f t="shared" si="0"/>
        <v>IGUAL</v>
      </c>
      <c r="J28" s="44" t="s">
        <v>47</v>
      </c>
      <c r="K28" s="25" t="s">
        <v>317</v>
      </c>
      <c r="L28" t="str">
        <f t="shared" si="2"/>
        <v>Mensal</v>
      </c>
    </row>
    <row r="29" spans="1:12" ht="18" customHeight="1" x14ac:dyDescent="0.25">
      <c r="A29" s="4">
        <v>28</v>
      </c>
      <c r="B29" s="5" t="s">
        <v>48</v>
      </c>
      <c r="C29" s="4" t="s">
        <v>46</v>
      </c>
      <c r="D29" s="4" t="s">
        <v>12</v>
      </c>
      <c r="E29" s="4" t="s">
        <v>9</v>
      </c>
      <c r="F29" s="66" t="s">
        <v>12</v>
      </c>
      <c r="G29" t="e">
        <f t="shared" si="1"/>
        <v>#N/A</v>
      </c>
      <c r="H29" t="e">
        <f t="shared" si="0"/>
        <v>#N/A</v>
      </c>
      <c r="J29" s="56" t="s">
        <v>50</v>
      </c>
      <c r="K29" s="29" t="s">
        <v>317</v>
      </c>
      <c r="L29" t="str">
        <f t="shared" si="2"/>
        <v>Mensal</v>
      </c>
    </row>
    <row r="30" spans="1:12" ht="18" customHeight="1" x14ac:dyDescent="0.25">
      <c r="A30" s="2">
        <v>29</v>
      </c>
      <c r="B30" s="3" t="s">
        <v>49</v>
      </c>
      <c r="C30" s="2" t="s">
        <v>46</v>
      </c>
      <c r="D30" s="2" t="s">
        <v>30</v>
      </c>
      <c r="E30" s="2" t="s">
        <v>9</v>
      </c>
      <c r="F30" s="66" t="s">
        <v>30</v>
      </c>
      <c r="G30" t="e">
        <f t="shared" si="1"/>
        <v>#N/A</v>
      </c>
      <c r="H30" t="e">
        <f t="shared" si="0"/>
        <v>#N/A</v>
      </c>
      <c r="J30" s="50" t="s">
        <v>51</v>
      </c>
      <c r="K30" s="15" t="s">
        <v>319</v>
      </c>
      <c r="L30" t="str">
        <f t="shared" si="2"/>
        <v>Trimestral</v>
      </c>
    </row>
    <row r="31" spans="1:12" ht="18" customHeight="1" x14ac:dyDescent="0.25">
      <c r="A31" s="6">
        <v>30</v>
      </c>
      <c r="B31" s="7" t="s">
        <v>50</v>
      </c>
      <c r="C31" s="6" t="s">
        <v>11</v>
      </c>
      <c r="D31" s="6" t="s">
        <v>16</v>
      </c>
      <c r="E31" s="6" t="s">
        <v>17</v>
      </c>
      <c r="F31" s="66" t="s">
        <v>12</v>
      </c>
      <c r="G31" t="str">
        <f t="shared" si="1"/>
        <v>Mensal</v>
      </c>
      <c r="H31" t="str">
        <f t="shared" si="0"/>
        <v>DIFERENTE</v>
      </c>
      <c r="J31" s="42" t="s">
        <v>53</v>
      </c>
      <c r="K31" s="20" t="s">
        <v>316</v>
      </c>
      <c r="L31" t="str">
        <f t="shared" si="2"/>
        <v>Anual</v>
      </c>
    </row>
    <row r="32" spans="1:12" ht="18" customHeight="1" x14ac:dyDescent="0.25">
      <c r="A32" s="2">
        <v>31</v>
      </c>
      <c r="B32" s="3" t="s">
        <v>51</v>
      </c>
      <c r="C32" s="2" t="s">
        <v>52</v>
      </c>
      <c r="D32" s="2" t="s">
        <v>8</v>
      </c>
      <c r="E32" s="2" t="s">
        <v>9</v>
      </c>
      <c r="F32" s="66" t="s">
        <v>8</v>
      </c>
      <c r="G32" t="str">
        <f t="shared" si="1"/>
        <v>Trimestral</v>
      </c>
      <c r="H32" t="str">
        <f t="shared" si="0"/>
        <v>IGUAL</v>
      </c>
      <c r="J32" s="42" t="s">
        <v>54</v>
      </c>
      <c r="K32" s="20" t="s">
        <v>316</v>
      </c>
      <c r="L32" t="str">
        <f t="shared" si="2"/>
        <v>Anual</v>
      </c>
    </row>
    <row r="33" spans="1:12" ht="18" customHeight="1" x14ac:dyDescent="0.25">
      <c r="A33" s="6">
        <v>32</v>
      </c>
      <c r="B33" s="7" t="s">
        <v>53</v>
      </c>
      <c r="C33" s="6" t="s">
        <v>23</v>
      </c>
      <c r="D33" s="6" t="s">
        <v>16</v>
      </c>
      <c r="E33" s="6" t="s">
        <v>17</v>
      </c>
      <c r="F33" s="66" t="s">
        <v>26</v>
      </c>
      <c r="G33" t="str">
        <f t="shared" si="1"/>
        <v>Anual</v>
      </c>
      <c r="H33" t="str">
        <f t="shared" si="0"/>
        <v>DIFERENTE</v>
      </c>
      <c r="J33" s="42" t="s">
        <v>55</v>
      </c>
      <c r="K33" s="20" t="s">
        <v>316</v>
      </c>
      <c r="L33" t="str">
        <f t="shared" si="2"/>
        <v>Anual</v>
      </c>
    </row>
    <row r="34" spans="1:12" ht="18" customHeight="1" x14ac:dyDescent="0.25">
      <c r="A34" s="6">
        <v>33</v>
      </c>
      <c r="B34" s="7" t="s">
        <v>54</v>
      </c>
      <c r="C34" s="6" t="s">
        <v>23</v>
      </c>
      <c r="D34" s="6" t="s">
        <v>16</v>
      </c>
      <c r="E34" s="6" t="s">
        <v>17</v>
      </c>
      <c r="F34" s="66" t="s">
        <v>26</v>
      </c>
      <c r="G34" t="str">
        <f t="shared" si="1"/>
        <v>Anual</v>
      </c>
      <c r="H34" t="str">
        <f t="shared" si="0"/>
        <v>DIFERENTE</v>
      </c>
      <c r="J34" s="58" t="s">
        <v>56</v>
      </c>
      <c r="K34" s="30" t="s">
        <v>317</v>
      </c>
      <c r="L34" t="str">
        <f t="shared" si="2"/>
        <v>Mensal</v>
      </c>
    </row>
    <row r="35" spans="1:12" ht="18" customHeight="1" x14ac:dyDescent="0.25">
      <c r="A35" s="6">
        <v>34</v>
      </c>
      <c r="B35" s="7" t="s">
        <v>55</v>
      </c>
      <c r="C35" s="6" t="s">
        <v>23</v>
      </c>
      <c r="D35" s="6" t="s">
        <v>16</v>
      </c>
      <c r="E35" s="6" t="s">
        <v>17</v>
      </c>
      <c r="F35" s="66" t="s">
        <v>26</v>
      </c>
      <c r="G35" t="str">
        <f t="shared" si="1"/>
        <v>Anual</v>
      </c>
      <c r="H35" t="str">
        <f t="shared" si="0"/>
        <v>DIFERENTE</v>
      </c>
      <c r="J35" s="36" t="s">
        <v>57</v>
      </c>
      <c r="K35" s="15" t="s">
        <v>317</v>
      </c>
      <c r="L35" t="str">
        <f t="shared" si="2"/>
        <v>Mensal</v>
      </c>
    </row>
    <row r="36" spans="1:12" ht="18" customHeight="1" x14ac:dyDescent="0.25">
      <c r="A36" s="2">
        <v>35</v>
      </c>
      <c r="B36" s="3" t="s">
        <v>56</v>
      </c>
      <c r="C36" s="2" t="s">
        <v>7</v>
      </c>
      <c r="D36" s="2" t="s">
        <v>8</v>
      </c>
      <c r="E36" s="2" t="s">
        <v>9</v>
      </c>
      <c r="F36" s="66" t="s">
        <v>12</v>
      </c>
      <c r="G36" t="str">
        <f t="shared" si="1"/>
        <v>Mensal</v>
      </c>
      <c r="H36" t="str">
        <f t="shared" si="0"/>
        <v>DIFERENTE</v>
      </c>
      <c r="J36" s="3" t="s">
        <v>58</v>
      </c>
      <c r="K36" s="20" t="s">
        <v>316</v>
      </c>
      <c r="L36" t="str">
        <f t="shared" si="2"/>
        <v>Anual</v>
      </c>
    </row>
    <row r="37" spans="1:12" ht="18" customHeight="1" x14ac:dyDescent="0.25">
      <c r="A37" s="4">
        <v>36</v>
      </c>
      <c r="B37" s="5" t="s">
        <v>57</v>
      </c>
      <c r="C37" s="4" t="s">
        <v>23</v>
      </c>
      <c r="D37" s="4" t="s">
        <v>12</v>
      </c>
      <c r="E37" s="4" t="s">
        <v>9</v>
      </c>
      <c r="F37" s="66" t="s">
        <v>12</v>
      </c>
      <c r="G37" t="str">
        <f t="shared" si="1"/>
        <v>Mensal</v>
      </c>
      <c r="H37" t="str">
        <f t="shared" si="0"/>
        <v>IGUAL</v>
      </c>
      <c r="J37" s="36" t="s">
        <v>59</v>
      </c>
      <c r="K37" s="15" t="s">
        <v>317</v>
      </c>
      <c r="L37" t="str">
        <f t="shared" si="2"/>
        <v>Mensal</v>
      </c>
    </row>
    <row r="38" spans="1:12" ht="18" customHeight="1" x14ac:dyDescent="0.25">
      <c r="A38" s="2">
        <v>37</v>
      </c>
      <c r="B38" s="3" t="s">
        <v>58</v>
      </c>
      <c r="C38" s="2" t="s">
        <v>46</v>
      </c>
      <c r="D38" s="2" t="s">
        <v>30</v>
      </c>
      <c r="E38" s="2" t="s">
        <v>9</v>
      </c>
      <c r="F38" s="66" t="s">
        <v>26</v>
      </c>
      <c r="G38" t="str">
        <f t="shared" si="1"/>
        <v>Anual</v>
      </c>
      <c r="H38" t="str">
        <f t="shared" si="0"/>
        <v>DIFERENTE</v>
      </c>
      <c r="J38" s="3" t="s">
        <v>60</v>
      </c>
      <c r="K38" s="22" t="s">
        <v>316</v>
      </c>
      <c r="L38" t="str">
        <f t="shared" si="2"/>
        <v>Anual</v>
      </c>
    </row>
    <row r="39" spans="1:12" ht="18" customHeight="1" x14ac:dyDescent="0.25">
      <c r="A39" s="6">
        <v>38</v>
      </c>
      <c r="B39" s="7" t="s">
        <v>59</v>
      </c>
      <c r="C39" s="6" t="s">
        <v>23</v>
      </c>
      <c r="D39" s="6" t="s">
        <v>16</v>
      </c>
      <c r="E39" s="6" t="s">
        <v>17</v>
      </c>
      <c r="F39" s="66" t="s">
        <v>12</v>
      </c>
      <c r="G39" t="str">
        <f t="shared" si="1"/>
        <v>Mensal</v>
      </c>
      <c r="H39" t="str">
        <f t="shared" si="0"/>
        <v>DIFERENTE</v>
      </c>
      <c r="J39" s="5" t="s">
        <v>61</v>
      </c>
      <c r="K39" s="16" t="s">
        <v>317</v>
      </c>
      <c r="L39" t="str">
        <f t="shared" si="2"/>
        <v>Mensal</v>
      </c>
    </row>
    <row r="40" spans="1:12" ht="18" customHeight="1" x14ac:dyDescent="0.25">
      <c r="A40" s="2">
        <v>39</v>
      </c>
      <c r="B40" s="3" t="s">
        <v>60</v>
      </c>
      <c r="C40" s="2" t="s">
        <v>11</v>
      </c>
      <c r="D40" s="2" t="s">
        <v>26</v>
      </c>
      <c r="E40" s="2" t="s">
        <v>9</v>
      </c>
      <c r="F40" s="66" t="s">
        <v>26</v>
      </c>
      <c r="G40" t="str">
        <f t="shared" si="1"/>
        <v>Anual</v>
      </c>
      <c r="H40" t="str">
        <f t="shared" si="0"/>
        <v>IGUAL</v>
      </c>
      <c r="J40" s="42" t="s">
        <v>62</v>
      </c>
      <c r="K40" s="20" t="s">
        <v>315</v>
      </c>
      <c r="L40" t="str">
        <f t="shared" si="2"/>
        <v>Semestral</v>
      </c>
    </row>
    <row r="41" spans="1:12" ht="18" customHeight="1" x14ac:dyDescent="0.25">
      <c r="A41" s="4">
        <v>40</v>
      </c>
      <c r="B41" s="5" t="s">
        <v>61</v>
      </c>
      <c r="C41" s="4" t="s">
        <v>46</v>
      </c>
      <c r="D41" s="4" t="s">
        <v>12</v>
      </c>
      <c r="E41" s="4" t="s">
        <v>9</v>
      </c>
      <c r="F41" s="66" t="s">
        <v>12</v>
      </c>
      <c r="G41" t="str">
        <f t="shared" si="1"/>
        <v>Mensal</v>
      </c>
      <c r="H41" t="str">
        <f t="shared" si="0"/>
        <v>IGUAL</v>
      </c>
      <c r="J41" s="36" t="s">
        <v>63</v>
      </c>
      <c r="K41" s="15" t="s">
        <v>317</v>
      </c>
      <c r="L41" t="str">
        <f t="shared" si="2"/>
        <v>Mensal</v>
      </c>
    </row>
    <row r="42" spans="1:12" ht="18" customHeight="1" x14ac:dyDescent="0.25">
      <c r="A42" s="6">
        <v>41</v>
      </c>
      <c r="B42" s="7" t="s">
        <v>62</v>
      </c>
      <c r="C42" s="6" t="s">
        <v>7</v>
      </c>
      <c r="D42" s="6" t="s">
        <v>16</v>
      </c>
      <c r="E42" s="6" t="s">
        <v>17</v>
      </c>
      <c r="F42" s="66" t="s">
        <v>30</v>
      </c>
      <c r="G42" t="str">
        <f t="shared" si="1"/>
        <v>Semestral</v>
      </c>
      <c r="H42" t="str">
        <f t="shared" si="0"/>
        <v>DIFERENTE</v>
      </c>
      <c r="J42" s="50" t="s">
        <v>64</v>
      </c>
      <c r="K42" s="15" t="s">
        <v>317</v>
      </c>
      <c r="L42" t="str">
        <f t="shared" si="2"/>
        <v>Mensal</v>
      </c>
    </row>
    <row r="43" spans="1:12" ht="18" customHeight="1" x14ac:dyDescent="0.25">
      <c r="A43" s="6">
        <v>42</v>
      </c>
      <c r="B43" s="7" t="s">
        <v>63</v>
      </c>
      <c r="C43" s="6" t="s">
        <v>23</v>
      </c>
      <c r="D43" s="6" t="s">
        <v>16</v>
      </c>
      <c r="E43" s="6" t="s">
        <v>17</v>
      </c>
      <c r="F43" s="66" t="s">
        <v>12</v>
      </c>
      <c r="G43" t="str">
        <f t="shared" si="1"/>
        <v>Mensal</v>
      </c>
      <c r="H43" t="str">
        <f t="shared" si="0"/>
        <v>DIFERENTE</v>
      </c>
      <c r="J43" s="5" t="s">
        <v>65</v>
      </c>
      <c r="K43" s="20" t="s">
        <v>315</v>
      </c>
      <c r="L43" t="str">
        <f t="shared" si="2"/>
        <v>Semestral</v>
      </c>
    </row>
    <row r="44" spans="1:12" ht="18" customHeight="1" x14ac:dyDescent="0.25">
      <c r="A44" s="6">
        <v>43</v>
      </c>
      <c r="B44" s="7" t="s">
        <v>64</v>
      </c>
      <c r="C44" s="6" t="s">
        <v>7</v>
      </c>
      <c r="D44" s="6" t="s">
        <v>16</v>
      </c>
      <c r="E44" s="6" t="s">
        <v>17</v>
      </c>
      <c r="F44" s="66" t="s">
        <v>12</v>
      </c>
      <c r="G44" t="str">
        <f t="shared" si="1"/>
        <v>Mensal</v>
      </c>
      <c r="H44" t="str">
        <f t="shared" si="0"/>
        <v>DIFERENTE</v>
      </c>
      <c r="J44" s="50" t="s">
        <v>66</v>
      </c>
      <c r="K44" s="15" t="s">
        <v>317</v>
      </c>
      <c r="L44" t="str">
        <f t="shared" si="2"/>
        <v>Mensal</v>
      </c>
    </row>
    <row r="45" spans="1:12" ht="18" customHeight="1" x14ac:dyDescent="0.25">
      <c r="A45" s="4">
        <v>44</v>
      </c>
      <c r="B45" s="5" t="s">
        <v>65</v>
      </c>
      <c r="C45" s="4" t="s">
        <v>23</v>
      </c>
      <c r="D45" s="4" t="s">
        <v>30</v>
      </c>
      <c r="E45" s="4" t="s">
        <v>9</v>
      </c>
      <c r="F45" s="66" t="s">
        <v>30</v>
      </c>
      <c r="G45" t="str">
        <f t="shared" si="1"/>
        <v>Semestral</v>
      </c>
      <c r="H45" t="str">
        <f t="shared" si="0"/>
        <v>IGUAL</v>
      </c>
      <c r="J45" s="5" t="s">
        <v>67</v>
      </c>
      <c r="K45" s="15" t="s">
        <v>316</v>
      </c>
      <c r="L45" t="str">
        <f t="shared" si="2"/>
        <v>Anual</v>
      </c>
    </row>
    <row r="46" spans="1:12" ht="18" customHeight="1" x14ac:dyDescent="0.25">
      <c r="A46" s="6">
        <v>45</v>
      </c>
      <c r="B46" s="7" t="s">
        <v>66</v>
      </c>
      <c r="C46" s="6" t="s">
        <v>15</v>
      </c>
      <c r="D46" s="6" t="s">
        <v>16</v>
      </c>
      <c r="E46" s="6" t="s">
        <v>17</v>
      </c>
      <c r="F46" s="66" t="s">
        <v>12</v>
      </c>
      <c r="G46" t="str">
        <f t="shared" si="1"/>
        <v>Mensal</v>
      </c>
      <c r="H46" t="str">
        <f t="shared" si="0"/>
        <v>DIFERENTE</v>
      </c>
      <c r="J46" s="5" t="s">
        <v>69</v>
      </c>
      <c r="K46" s="15" t="s">
        <v>317</v>
      </c>
      <c r="L46" t="str">
        <f t="shared" si="2"/>
        <v>Mensal</v>
      </c>
    </row>
    <row r="47" spans="1:12" ht="18" customHeight="1" x14ac:dyDescent="0.25">
      <c r="A47" s="4">
        <v>46</v>
      </c>
      <c r="B47" s="5" t="s">
        <v>67</v>
      </c>
      <c r="C47" s="4" t="s">
        <v>23</v>
      </c>
      <c r="D47" s="4" t="s">
        <v>26</v>
      </c>
      <c r="E47" s="4" t="s">
        <v>9</v>
      </c>
      <c r="F47" s="66" t="s">
        <v>26</v>
      </c>
      <c r="G47" t="str">
        <f t="shared" si="1"/>
        <v>Anual</v>
      </c>
      <c r="H47" t="str">
        <f t="shared" si="0"/>
        <v>IGUAL</v>
      </c>
      <c r="J47" s="37" t="s">
        <v>70</v>
      </c>
      <c r="K47" s="16" t="s">
        <v>316</v>
      </c>
      <c r="L47" t="str">
        <f t="shared" si="2"/>
        <v>Anual</v>
      </c>
    </row>
    <row r="48" spans="1:12" ht="18" customHeight="1" x14ac:dyDescent="0.25">
      <c r="A48" s="2">
        <v>47</v>
      </c>
      <c r="B48" s="3" t="s">
        <v>68</v>
      </c>
      <c r="C48" s="2" t="s">
        <v>15</v>
      </c>
      <c r="D48" s="2" t="s">
        <v>12</v>
      </c>
      <c r="E48" s="2" t="s">
        <v>9</v>
      </c>
      <c r="F48" s="66" t="s">
        <v>12</v>
      </c>
      <c r="G48" t="e">
        <f t="shared" si="1"/>
        <v>#N/A</v>
      </c>
      <c r="H48" t="e">
        <f t="shared" si="0"/>
        <v>#N/A</v>
      </c>
      <c r="J48" s="7" t="s">
        <v>72</v>
      </c>
      <c r="K48" s="15" t="s">
        <v>317</v>
      </c>
      <c r="L48" t="str">
        <f t="shared" si="2"/>
        <v>Mensal</v>
      </c>
    </row>
    <row r="49" spans="1:12" ht="18" customHeight="1" x14ac:dyDescent="0.25">
      <c r="A49" s="4">
        <v>48</v>
      </c>
      <c r="B49" s="5" t="s">
        <v>69</v>
      </c>
      <c r="C49" s="4" t="s">
        <v>23</v>
      </c>
      <c r="D49" s="4" t="s">
        <v>30</v>
      </c>
      <c r="E49" s="4" t="s">
        <v>9</v>
      </c>
      <c r="F49" s="66" t="s">
        <v>12</v>
      </c>
      <c r="G49" t="str">
        <f t="shared" si="1"/>
        <v>Mensal</v>
      </c>
      <c r="H49" t="str">
        <f t="shared" si="0"/>
        <v>DIFERENTE</v>
      </c>
      <c r="J49" s="50" t="s">
        <v>73</v>
      </c>
      <c r="K49" s="15" t="s">
        <v>317</v>
      </c>
      <c r="L49" t="str">
        <f t="shared" si="2"/>
        <v>Mensal</v>
      </c>
    </row>
    <row r="50" spans="1:12" ht="18" customHeight="1" x14ac:dyDescent="0.25">
      <c r="A50" s="2">
        <v>49</v>
      </c>
      <c r="B50" s="3" t="s">
        <v>70</v>
      </c>
      <c r="C50" s="2" t="s">
        <v>23</v>
      </c>
      <c r="D50" s="2" t="s">
        <v>26</v>
      </c>
      <c r="E50" s="2" t="s">
        <v>9</v>
      </c>
      <c r="F50" s="66" t="s">
        <v>26</v>
      </c>
      <c r="G50" t="str">
        <f t="shared" si="1"/>
        <v>Anual</v>
      </c>
      <c r="H50" t="str">
        <f t="shared" si="0"/>
        <v>IGUAL</v>
      </c>
      <c r="J50" s="7" t="s">
        <v>74</v>
      </c>
      <c r="K50" s="19" t="s">
        <v>315</v>
      </c>
      <c r="L50" t="str">
        <f t="shared" si="2"/>
        <v>Semestral</v>
      </c>
    </row>
    <row r="51" spans="1:12" ht="18" customHeight="1" x14ac:dyDescent="0.25">
      <c r="A51" s="6">
        <v>50</v>
      </c>
      <c r="B51" s="7" t="s">
        <v>71</v>
      </c>
      <c r="C51" s="6" t="s">
        <v>15</v>
      </c>
      <c r="D51" s="6" t="s">
        <v>16</v>
      </c>
      <c r="E51" s="6" t="s">
        <v>17</v>
      </c>
      <c r="F51" s="66" t="s">
        <v>12</v>
      </c>
      <c r="G51" t="e">
        <f t="shared" si="1"/>
        <v>#N/A</v>
      </c>
      <c r="H51" t="e">
        <f t="shared" si="0"/>
        <v>#N/A</v>
      </c>
      <c r="J51" s="7" t="s">
        <v>75</v>
      </c>
      <c r="K51" s="20" t="s">
        <v>315</v>
      </c>
      <c r="L51" t="str">
        <f t="shared" si="2"/>
        <v>Semestral</v>
      </c>
    </row>
    <row r="52" spans="1:12" ht="18" customHeight="1" x14ac:dyDescent="0.25">
      <c r="A52" s="6">
        <v>51</v>
      </c>
      <c r="B52" s="7" t="s">
        <v>72</v>
      </c>
      <c r="C52" s="6" t="s">
        <v>15</v>
      </c>
      <c r="D52" s="6" t="s">
        <v>16</v>
      </c>
      <c r="E52" s="6" t="s">
        <v>17</v>
      </c>
      <c r="F52" s="66" t="s">
        <v>12</v>
      </c>
      <c r="G52" t="str">
        <f t="shared" si="1"/>
        <v>Mensal</v>
      </c>
      <c r="H52" t="str">
        <f t="shared" si="0"/>
        <v>DIFERENTE</v>
      </c>
      <c r="J52" s="3" t="s">
        <v>76</v>
      </c>
      <c r="K52" s="16" t="s">
        <v>316</v>
      </c>
      <c r="L52" t="str">
        <f t="shared" si="2"/>
        <v>Anual</v>
      </c>
    </row>
    <row r="53" spans="1:12" ht="18" customHeight="1" x14ac:dyDescent="0.25">
      <c r="A53" s="6">
        <v>52</v>
      </c>
      <c r="B53" s="7" t="s">
        <v>73</v>
      </c>
      <c r="C53" s="6" t="s">
        <v>11</v>
      </c>
      <c r="D53" s="6" t="s">
        <v>16</v>
      </c>
      <c r="E53" s="6" t="s">
        <v>17</v>
      </c>
      <c r="F53" s="66" t="s">
        <v>12</v>
      </c>
      <c r="G53" t="str">
        <f t="shared" si="1"/>
        <v>Mensal</v>
      </c>
      <c r="H53" t="str">
        <f t="shared" si="0"/>
        <v>DIFERENTE</v>
      </c>
      <c r="J53" s="5" t="s">
        <v>77</v>
      </c>
      <c r="K53" s="20" t="s">
        <v>316</v>
      </c>
      <c r="L53" t="str">
        <f t="shared" si="2"/>
        <v>Anual</v>
      </c>
    </row>
    <row r="54" spans="1:12" ht="18" customHeight="1" x14ac:dyDescent="0.25">
      <c r="A54" s="6">
        <v>53</v>
      </c>
      <c r="B54" s="7" t="s">
        <v>74</v>
      </c>
      <c r="C54" s="6" t="s">
        <v>11</v>
      </c>
      <c r="D54" s="6" t="s">
        <v>16</v>
      </c>
      <c r="E54" s="6" t="s">
        <v>17</v>
      </c>
      <c r="F54" s="66" t="s">
        <v>30</v>
      </c>
      <c r="G54" t="str">
        <f t="shared" si="1"/>
        <v>Semestral</v>
      </c>
      <c r="H54" t="str">
        <f t="shared" si="0"/>
        <v>DIFERENTE</v>
      </c>
      <c r="J54" s="3" t="s">
        <v>78</v>
      </c>
      <c r="K54" s="24" t="s">
        <v>317</v>
      </c>
      <c r="L54" t="str">
        <f t="shared" si="2"/>
        <v>Mensal</v>
      </c>
    </row>
    <row r="55" spans="1:12" ht="18" customHeight="1" x14ac:dyDescent="0.25">
      <c r="A55" s="6">
        <v>54</v>
      </c>
      <c r="B55" s="7" t="s">
        <v>75</v>
      </c>
      <c r="C55" s="6" t="s">
        <v>7</v>
      </c>
      <c r="D55" s="6" t="s">
        <v>16</v>
      </c>
      <c r="E55" s="6" t="s">
        <v>17</v>
      </c>
      <c r="F55" s="66" t="s">
        <v>30</v>
      </c>
      <c r="G55" t="str">
        <f t="shared" si="1"/>
        <v>Semestral</v>
      </c>
      <c r="H55" t="str">
        <f t="shared" si="0"/>
        <v>DIFERENTE</v>
      </c>
      <c r="J55" s="7" t="s">
        <v>79</v>
      </c>
      <c r="K55" s="16" t="s">
        <v>317</v>
      </c>
      <c r="L55" t="str">
        <f t="shared" si="2"/>
        <v>Mensal</v>
      </c>
    </row>
    <row r="56" spans="1:12" ht="18" customHeight="1" x14ac:dyDescent="0.25">
      <c r="A56" s="2">
        <v>55</v>
      </c>
      <c r="B56" s="3" t="s">
        <v>76</v>
      </c>
      <c r="C56" s="2" t="s">
        <v>19</v>
      </c>
      <c r="D56" s="2" t="s">
        <v>26</v>
      </c>
      <c r="E56" s="2" t="s">
        <v>9</v>
      </c>
      <c r="F56" s="66" t="s">
        <v>26</v>
      </c>
      <c r="G56" t="str">
        <f t="shared" si="1"/>
        <v>Anual</v>
      </c>
      <c r="H56" t="str">
        <f t="shared" si="0"/>
        <v>IGUAL</v>
      </c>
      <c r="J56" s="47" t="s">
        <v>80</v>
      </c>
      <c r="K56" s="20" t="s">
        <v>316</v>
      </c>
      <c r="L56" t="str">
        <f t="shared" si="2"/>
        <v>Anual</v>
      </c>
    </row>
    <row r="57" spans="1:12" ht="18" customHeight="1" x14ac:dyDescent="0.25">
      <c r="A57" s="4">
        <v>56</v>
      </c>
      <c r="B57" s="5" t="s">
        <v>77</v>
      </c>
      <c r="C57" s="4" t="s">
        <v>46</v>
      </c>
      <c r="D57" s="4" t="s">
        <v>12</v>
      </c>
      <c r="E57" s="4" t="s">
        <v>9</v>
      </c>
      <c r="F57" s="66" t="s">
        <v>26</v>
      </c>
      <c r="G57" t="str">
        <f t="shared" si="1"/>
        <v>Anual</v>
      </c>
      <c r="H57" t="str">
        <f t="shared" si="0"/>
        <v>DIFERENTE</v>
      </c>
      <c r="J57" s="50" t="s">
        <v>81</v>
      </c>
      <c r="K57" s="15" t="s">
        <v>317</v>
      </c>
      <c r="L57" t="str">
        <f t="shared" si="2"/>
        <v>Mensal</v>
      </c>
    </row>
    <row r="58" spans="1:12" ht="18" customHeight="1" x14ac:dyDescent="0.25">
      <c r="A58" s="2">
        <v>57</v>
      </c>
      <c r="B58" s="3" t="s">
        <v>78</v>
      </c>
      <c r="C58" s="2" t="s">
        <v>19</v>
      </c>
      <c r="D58" s="2" t="s">
        <v>12</v>
      </c>
      <c r="E58" s="2" t="s">
        <v>9</v>
      </c>
      <c r="F58" s="66" t="s">
        <v>12</v>
      </c>
      <c r="G58" t="str">
        <f t="shared" si="1"/>
        <v>Mensal</v>
      </c>
      <c r="H58" t="str">
        <f t="shared" si="0"/>
        <v>IGUAL</v>
      </c>
      <c r="J58" s="36" t="s">
        <v>82</v>
      </c>
      <c r="K58" s="15" t="s">
        <v>316</v>
      </c>
      <c r="L58" t="str">
        <f t="shared" si="2"/>
        <v>Anual</v>
      </c>
    </row>
    <row r="59" spans="1:12" ht="18" customHeight="1" x14ac:dyDescent="0.25">
      <c r="A59" s="6">
        <v>58</v>
      </c>
      <c r="B59" s="7" t="s">
        <v>79</v>
      </c>
      <c r="C59" s="6" t="s">
        <v>23</v>
      </c>
      <c r="D59" s="6" t="s">
        <v>16</v>
      </c>
      <c r="E59" s="6" t="s">
        <v>17</v>
      </c>
      <c r="F59" s="66" t="s">
        <v>12</v>
      </c>
      <c r="G59" t="str">
        <f t="shared" si="1"/>
        <v>Mensal</v>
      </c>
      <c r="H59" t="str">
        <f t="shared" si="0"/>
        <v>DIFERENTE</v>
      </c>
      <c r="J59" s="50" t="s">
        <v>83</v>
      </c>
      <c r="K59" s="15" t="s">
        <v>317</v>
      </c>
      <c r="L59" t="str">
        <f t="shared" si="2"/>
        <v>Mensal</v>
      </c>
    </row>
    <row r="60" spans="1:12" ht="18" customHeight="1" x14ac:dyDescent="0.25">
      <c r="A60" s="6">
        <v>59</v>
      </c>
      <c r="B60" s="7" t="s">
        <v>80</v>
      </c>
      <c r="C60" s="6" t="s">
        <v>15</v>
      </c>
      <c r="D60" s="6" t="s">
        <v>16</v>
      </c>
      <c r="E60" s="6" t="s">
        <v>17</v>
      </c>
      <c r="F60" s="66" t="s">
        <v>26</v>
      </c>
      <c r="G60" t="str">
        <f t="shared" si="1"/>
        <v>Anual</v>
      </c>
      <c r="H60" t="str">
        <f t="shared" si="0"/>
        <v>DIFERENTE</v>
      </c>
      <c r="J60" s="42" t="s">
        <v>84</v>
      </c>
      <c r="K60" s="20" t="s">
        <v>316</v>
      </c>
      <c r="L60" t="str">
        <f t="shared" si="2"/>
        <v>Anual</v>
      </c>
    </row>
    <row r="61" spans="1:12" ht="18" customHeight="1" x14ac:dyDescent="0.25">
      <c r="A61" s="4">
        <v>60</v>
      </c>
      <c r="B61" s="5" t="s">
        <v>81</v>
      </c>
      <c r="C61" s="4" t="s">
        <v>11</v>
      </c>
      <c r="D61" s="4" t="s">
        <v>12</v>
      </c>
      <c r="E61" s="4" t="s">
        <v>9</v>
      </c>
      <c r="F61" s="66" t="s">
        <v>12</v>
      </c>
      <c r="G61" t="str">
        <f t="shared" si="1"/>
        <v>Mensal</v>
      </c>
      <c r="H61" t="str">
        <f t="shared" si="0"/>
        <v>IGUAL</v>
      </c>
      <c r="J61" s="50" t="s">
        <v>85</v>
      </c>
      <c r="K61" s="15" t="s">
        <v>317</v>
      </c>
      <c r="L61" t="str">
        <f t="shared" si="2"/>
        <v>Mensal</v>
      </c>
    </row>
    <row r="62" spans="1:12" ht="18" customHeight="1" x14ac:dyDescent="0.25">
      <c r="A62" s="2">
        <v>61</v>
      </c>
      <c r="B62" s="3" t="s">
        <v>82</v>
      </c>
      <c r="C62" s="2" t="s">
        <v>46</v>
      </c>
      <c r="D62" s="2" t="s">
        <v>12</v>
      </c>
      <c r="E62" s="2" t="s">
        <v>9</v>
      </c>
      <c r="F62" s="66" t="s">
        <v>26</v>
      </c>
      <c r="G62" t="str">
        <f t="shared" si="1"/>
        <v>Anual</v>
      </c>
      <c r="H62" t="str">
        <f t="shared" si="0"/>
        <v>DIFERENTE</v>
      </c>
      <c r="J62" s="3" t="s">
        <v>86</v>
      </c>
      <c r="K62" s="30" t="s">
        <v>317</v>
      </c>
      <c r="L62" t="str">
        <f t="shared" si="2"/>
        <v>Mensal</v>
      </c>
    </row>
    <row r="63" spans="1:12" ht="18" customHeight="1" x14ac:dyDescent="0.25">
      <c r="A63" s="6">
        <v>62</v>
      </c>
      <c r="B63" s="7" t="s">
        <v>83</v>
      </c>
      <c r="C63" s="6" t="s">
        <v>23</v>
      </c>
      <c r="D63" s="6" t="s">
        <v>16</v>
      </c>
      <c r="E63" s="6" t="s">
        <v>17</v>
      </c>
      <c r="F63" s="66" t="s">
        <v>12</v>
      </c>
      <c r="G63" t="str">
        <f t="shared" si="1"/>
        <v>Mensal</v>
      </c>
      <c r="H63" t="str">
        <f t="shared" si="0"/>
        <v>DIFERENTE</v>
      </c>
      <c r="J63" s="54" t="s">
        <v>338</v>
      </c>
      <c r="K63" s="18" t="s">
        <v>317</v>
      </c>
      <c r="L63" t="str">
        <f t="shared" si="2"/>
        <v>Mensal</v>
      </c>
    </row>
    <row r="64" spans="1:12" ht="18" customHeight="1" x14ac:dyDescent="0.25">
      <c r="A64" s="6">
        <v>63</v>
      </c>
      <c r="B64" s="7" t="s">
        <v>84</v>
      </c>
      <c r="C64" s="6" t="s">
        <v>7</v>
      </c>
      <c r="D64" s="6" t="s">
        <v>16</v>
      </c>
      <c r="E64" s="6" t="s">
        <v>17</v>
      </c>
      <c r="F64" s="66" t="s">
        <v>26</v>
      </c>
      <c r="G64" t="str">
        <f t="shared" si="1"/>
        <v>Anual</v>
      </c>
      <c r="H64" t="str">
        <f t="shared" si="0"/>
        <v>DIFERENTE</v>
      </c>
      <c r="J64" s="39" t="s">
        <v>87</v>
      </c>
      <c r="K64" s="18" t="s">
        <v>317</v>
      </c>
      <c r="L64" t="str">
        <f t="shared" si="2"/>
        <v>Mensal</v>
      </c>
    </row>
    <row r="65" spans="1:12" ht="18" customHeight="1" x14ac:dyDescent="0.25">
      <c r="A65" s="4">
        <v>64</v>
      </c>
      <c r="B65" s="5" t="s">
        <v>85</v>
      </c>
      <c r="C65" s="4" t="s">
        <v>23</v>
      </c>
      <c r="D65" s="4" t="s">
        <v>30</v>
      </c>
      <c r="E65" s="4" t="s">
        <v>9</v>
      </c>
      <c r="F65" s="66" t="s">
        <v>12</v>
      </c>
      <c r="G65" t="str">
        <f t="shared" si="1"/>
        <v>Mensal</v>
      </c>
      <c r="H65" t="str">
        <f t="shared" si="0"/>
        <v>DIFERENTE</v>
      </c>
      <c r="J65" s="41" t="s">
        <v>88</v>
      </c>
      <c r="K65" s="19" t="s">
        <v>319</v>
      </c>
      <c r="L65" t="str">
        <f t="shared" si="2"/>
        <v>Trimestral</v>
      </c>
    </row>
    <row r="66" spans="1:12" ht="18" customHeight="1" x14ac:dyDescent="0.25">
      <c r="A66" s="2">
        <v>65</v>
      </c>
      <c r="B66" s="3" t="s">
        <v>86</v>
      </c>
      <c r="C66" s="2" t="s">
        <v>23</v>
      </c>
      <c r="D66" s="2" t="s">
        <v>12</v>
      </c>
      <c r="E66" s="2" t="s">
        <v>9</v>
      </c>
      <c r="F66" s="66" t="s">
        <v>12</v>
      </c>
      <c r="G66" t="str">
        <f t="shared" si="1"/>
        <v>Mensal</v>
      </c>
      <c r="H66" t="str">
        <f t="shared" si="0"/>
        <v>IGUAL</v>
      </c>
      <c r="J66" s="59" t="s">
        <v>90</v>
      </c>
      <c r="K66" s="31" t="s">
        <v>315</v>
      </c>
      <c r="L66" t="str">
        <f t="shared" si="2"/>
        <v>Semestral</v>
      </c>
    </row>
    <row r="67" spans="1:12" ht="18" customHeight="1" x14ac:dyDescent="0.25">
      <c r="A67" s="6">
        <v>66</v>
      </c>
      <c r="B67" s="7" t="s">
        <v>87</v>
      </c>
      <c r="C67" s="6" t="s">
        <v>52</v>
      </c>
      <c r="D67" s="6" t="s">
        <v>16</v>
      </c>
      <c r="E67" s="6" t="s">
        <v>17</v>
      </c>
      <c r="F67" s="66" t="s">
        <v>12</v>
      </c>
      <c r="G67" t="str">
        <f t="shared" ref="G67:G130" si="3">VLOOKUP(B67,$J$2:$L$276,3,FALSE)</f>
        <v>Mensal</v>
      </c>
      <c r="H67" t="str">
        <f t="shared" ref="H67:H130" si="4">IF(D67=G67,"IGUAL","DIFERENTE")</f>
        <v>DIFERENTE</v>
      </c>
      <c r="J67" s="45" t="s">
        <v>91</v>
      </c>
      <c r="K67" s="17" t="s">
        <v>315</v>
      </c>
      <c r="L67" t="str">
        <f t="shared" si="2"/>
        <v>Semestral</v>
      </c>
    </row>
    <row r="68" spans="1:12" ht="18" customHeight="1" x14ac:dyDescent="0.25">
      <c r="A68" s="2">
        <v>67</v>
      </c>
      <c r="B68" s="3" t="s">
        <v>88</v>
      </c>
      <c r="C68" s="2" t="s">
        <v>46</v>
      </c>
      <c r="D68" s="2" t="s">
        <v>30</v>
      </c>
      <c r="E68" s="2" t="s">
        <v>9</v>
      </c>
      <c r="F68" s="66" t="s">
        <v>8</v>
      </c>
      <c r="G68" t="str">
        <f t="shared" si="3"/>
        <v>Trimestral</v>
      </c>
      <c r="H68" t="str">
        <f t="shared" si="4"/>
        <v>DIFERENTE</v>
      </c>
      <c r="J68" s="58" t="s">
        <v>94</v>
      </c>
      <c r="K68" s="30" t="s">
        <v>317</v>
      </c>
      <c r="L68" t="str">
        <f t="shared" ref="L68:L131" si="5">VLOOKUP(K68,$O$3:$P$11,2,FALSE)</f>
        <v>Mensal</v>
      </c>
    </row>
    <row r="69" spans="1:12" ht="18" customHeight="1" x14ac:dyDescent="0.25">
      <c r="A69" s="4">
        <v>68</v>
      </c>
      <c r="B69" s="5" t="s">
        <v>89</v>
      </c>
      <c r="C69" s="4" t="s">
        <v>19</v>
      </c>
      <c r="D69" s="4" t="s">
        <v>12</v>
      </c>
      <c r="E69" s="4" t="s">
        <v>9</v>
      </c>
      <c r="F69" s="66" t="s">
        <v>12</v>
      </c>
      <c r="G69" t="e">
        <f t="shared" si="3"/>
        <v>#N/A</v>
      </c>
      <c r="H69" t="e">
        <f t="shared" si="4"/>
        <v>#N/A</v>
      </c>
      <c r="J69" s="3" t="s">
        <v>92</v>
      </c>
      <c r="K69" s="15" t="s">
        <v>317</v>
      </c>
      <c r="L69" t="str">
        <f t="shared" si="5"/>
        <v>Mensal</v>
      </c>
    </row>
    <row r="70" spans="1:12" ht="18" customHeight="1" x14ac:dyDescent="0.25">
      <c r="A70" s="2">
        <v>69</v>
      </c>
      <c r="B70" s="3" t="s">
        <v>90</v>
      </c>
      <c r="C70" s="2" t="s">
        <v>23</v>
      </c>
      <c r="D70" s="2" t="s">
        <v>30</v>
      </c>
      <c r="E70" s="2" t="s">
        <v>9</v>
      </c>
      <c r="F70" s="66" t="s">
        <v>30</v>
      </c>
      <c r="G70" t="str">
        <f t="shared" si="3"/>
        <v>Semestral</v>
      </c>
      <c r="H70" t="str">
        <f t="shared" si="4"/>
        <v>IGUAL</v>
      </c>
      <c r="J70" s="5" t="s">
        <v>93</v>
      </c>
      <c r="K70" s="25" t="s">
        <v>317</v>
      </c>
      <c r="L70" t="str">
        <f t="shared" si="5"/>
        <v>Mensal</v>
      </c>
    </row>
    <row r="71" spans="1:12" ht="18" customHeight="1" x14ac:dyDescent="0.25">
      <c r="A71" s="6">
        <v>70</v>
      </c>
      <c r="B71" s="7" t="s">
        <v>91</v>
      </c>
      <c r="C71" s="6" t="s">
        <v>11</v>
      </c>
      <c r="D71" s="6" t="s">
        <v>16</v>
      </c>
      <c r="E71" s="6" t="s">
        <v>17</v>
      </c>
      <c r="F71" s="66" t="s">
        <v>30</v>
      </c>
      <c r="G71" t="str">
        <f t="shared" si="3"/>
        <v>Semestral</v>
      </c>
      <c r="H71" t="str">
        <f t="shared" si="4"/>
        <v>DIFERENTE</v>
      </c>
      <c r="J71" s="45" t="s">
        <v>95</v>
      </c>
      <c r="K71" s="17" t="s">
        <v>319</v>
      </c>
      <c r="L71" t="str">
        <f t="shared" si="5"/>
        <v>Trimestral</v>
      </c>
    </row>
    <row r="72" spans="1:12" ht="18" customHeight="1" x14ac:dyDescent="0.25">
      <c r="A72" s="2">
        <v>71</v>
      </c>
      <c r="B72" s="3" t="s">
        <v>92</v>
      </c>
      <c r="C72" s="2" t="s">
        <v>23</v>
      </c>
      <c r="D72" s="2" t="s">
        <v>12</v>
      </c>
      <c r="E72" s="2" t="s">
        <v>9</v>
      </c>
      <c r="F72" s="66" t="s">
        <v>12</v>
      </c>
      <c r="G72" t="str">
        <f t="shared" si="3"/>
        <v>Mensal</v>
      </c>
      <c r="H72" t="str">
        <f t="shared" si="4"/>
        <v>IGUAL</v>
      </c>
      <c r="J72" s="36" t="s">
        <v>96</v>
      </c>
      <c r="K72" s="15" t="s">
        <v>317</v>
      </c>
      <c r="L72" t="str">
        <f t="shared" si="5"/>
        <v>Mensal</v>
      </c>
    </row>
    <row r="73" spans="1:12" ht="18" customHeight="1" x14ac:dyDescent="0.25">
      <c r="A73" s="4">
        <v>72</v>
      </c>
      <c r="B73" s="5" t="s">
        <v>93</v>
      </c>
      <c r="C73" s="4" t="s">
        <v>7</v>
      </c>
      <c r="D73" s="4" t="s">
        <v>8</v>
      </c>
      <c r="E73" s="4" t="s">
        <v>9</v>
      </c>
      <c r="F73" s="66" t="s">
        <v>12</v>
      </c>
      <c r="G73" t="str">
        <f t="shared" si="3"/>
        <v>Mensal</v>
      </c>
      <c r="H73" t="str">
        <f t="shared" si="4"/>
        <v>DIFERENTE</v>
      </c>
      <c r="J73" s="58" t="s">
        <v>97</v>
      </c>
      <c r="K73" s="35" t="s">
        <v>319</v>
      </c>
      <c r="L73" t="str">
        <f t="shared" si="5"/>
        <v>Trimestral</v>
      </c>
    </row>
    <row r="74" spans="1:12" ht="18" customHeight="1" x14ac:dyDescent="0.25">
      <c r="A74" s="2">
        <v>73</v>
      </c>
      <c r="B74" s="3" t="s">
        <v>94</v>
      </c>
      <c r="C74" s="2" t="s">
        <v>23</v>
      </c>
      <c r="D74" s="2" t="s">
        <v>30</v>
      </c>
      <c r="E74" s="2" t="s">
        <v>9</v>
      </c>
      <c r="F74" s="66" t="s">
        <v>12</v>
      </c>
      <c r="G74" t="str">
        <f t="shared" si="3"/>
        <v>Mensal</v>
      </c>
      <c r="H74" t="str">
        <f t="shared" si="4"/>
        <v>DIFERENTE</v>
      </c>
      <c r="J74" s="42" t="s">
        <v>98</v>
      </c>
      <c r="K74" s="20" t="s">
        <v>317</v>
      </c>
      <c r="L74" t="str">
        <f t="shared" si="5"/>
        <v>Mensal</v>
      </c>
    </row>
    <row r="75" spans="1:12" ht="18" customHeight="1" x14ac:dyDescent="0.25">
      <c r="A75" s="4">
        <v>74</v>
      </c>
      <c r="B75" s="5" t="s">
        <v>95</v>
      </c>
      <c r="C75" s="4" t="s">
        <v>39</v>
      </c>
      <c r="D75" s="4" t="s">
        <v>12</v>
      </c>
      <c r="E75" s="4" t="s">
        <v>9</v>
      </c>
      <c r="F75" s="66" t="s">
        <v>8</v>
      </c>
      <c r="G75" t="str">
        <f t="shared" si="3"/>
        <v>Trimestral</v>
      </c>
      <c r="H75" t="str">
        <f t="shared" si="4"/>
        <v>DIFERENTE</v>
      </c>
      <c r="J75" s="50" t="s">
        <v>99</v>
      </c>
      <c r="K75" s="15" t="s">
        <v>317</v>
      </c>
      <c r="L75" t="str">
        <f t="shared" si="5"/>
        <v>Mensal</v>
      </c>
    </row>
    <row r="76" spans="1:12" ht="18" customHeight="1" x14ac:dyDescent="0.25">
      <c r="A76" s="6">
        <v>75</v>
      </c>
      <c r="B76" s="7" t="s">
        <v>96</v>
      </c>
      <c r="C76" s="6" t="s">
        <v>23</v>
      </c>
      <c r="D76" s="6" t="s">
        <v>16</v>
      </c>
      <c r="E76" s="6" t="s">
        <v>17</v>
      </c>
      <c r="F76" s="66" t="s">
        <v>12</v>
      </c>
      <c r="G76" t="str">
        <f t="shared" si="3"/>
        <v>Mensal</v>
      </c>
      <c r="H76" t="str">
        <f t="shared" si="4"/>
        <v>DIFERENTE</v>
      </c>
      <c r="J76" s="36" t="s">
        <v>101</v>
      </c>
      <c r="K76" s="15" t="s">
        <v>317</v>
      </c>
      <c r="L76" t="str">
        <f t="shared" si="5"/>
        <v>Mensal</v>
      </c>
    </row>
    <row r="77" spans="1:12" ht="18" customHeight="1" x14ac:dyDescent="0.25">
      <c r="A77" s="4">
        <v>76</v>
      </c>
      <c r="B77" s="5" t="s">
        <v>97</v>
      </c>
      <c r="C77" s="4" t="s">
        <v>15</v>
      </c>
      <c r="D77" s="4" t="s">
        <v>8</v>
      </c>
      <c r="E77" s="4" t="s">
        <v>9</v>
      </c>
      <c r="F77" s="66" t="s">
        <v>8</v>
      </c>
      <c r="G77" t="str">
        <f t="shared" si="3"/>
        <v>Trimestral</v>
      </c>
      <c r="H77" t="str">
        <f t="shared" si="4"/>
        <v>IGUAL</v>
      </c>
      <c r="J77" s="51" t="s">
        <v>102</v>
      </c>
      <c r="K77" s="22" t="s">
        <v>317</v>
      </c>
      <c r="L77" t="str">
        <f t="shared" si="5"/>
        <v>Mensal</v>
      </c>
    </row>
    <row r="78" spans="1:12" ht="18" customHeight="1" x14ac:dyDescent="0.25">
      <c r="A78" s="2">
        <v>77</v>
      </c>
      <c r="B78" s="3" t="s">
        <v>98</v>
      </c>
      <c r="C78" s="2" t="s">
        <v>15</v>
      </c>
      <c r="D78" s="2" t="s">
        <v>12</v>
      </c>
      <c r="E78" s="2" t="s">
        <v>9</v>
      </c>
      <c r="F78" s="66" t="s">
        <v>12</v>
      </c>
      <c r="G78" t="str">
        <f t="shared" si="3"/>
        <v>Mensal</v>
      </c>
      <c r="H78" t="str">
        <f t="shared" si="4"/>
        <v>IGUAL</v>
      </c>
      <c r="J78" s="47" t="s">
        <v>103</v>
      </c>
      <c r="K78" s="20" t="s">
        <v>319</v>
      </c>
      <c r="L78" t="str">
        <f t="shared" si="5"/>
        <v>Trimestral</v>
      </c>
    </row>
    <row r="79" spans="1:12" ht="18" customHeight="1" x14ac:dyDescent="0.25">
      <c r="A79" s="6">
        <v>78</v>
      </c>
      <c r="B79" s="7" t="s">
        <v>99</v>
      </c>
      <c r="C79" s="6" t="s">
        <v>23</v>
      </c>
      <c r="D79" s="6" t="s">
        <v>16</v>
      </c>
      <c r="E79" s="6" t="s">
        <v>17</v>
      </c>
      <c r="F79" s="66" t="s">
        <v>12</v>
      </c>
      <c r="G79" t="str">
        <f t="shared" si="3"/>
        <v>Mensal</v>
      </c>
      <c r="H79" t="str">
        <f t="shared" si="4"/>
        <v>DIFERENTE</v>
      </c>
      <c r="J79" s="3" t="s">
        <v>104</v>
      </c>
      <c r="K79" s="26" t="s">
        <v>319</v>
      </c>
      <c r="L79" t="str">
        <f t="shared" si="5"/>
        <v>Trimestral</v>
      </c>
    </row>
    <row r="80" spans="1:12" ht="18" customHeight="1" x14ac:dyDescent="0.25">
      <c r="A80" s="2">
        <v>79</v>
      </c>
      <c r="B80" s="3" t="s">
        <v>100</v>
      </c>
      <c r="C80" s="2" t="s">
        <v>23</v>
      </c>
      <c r="D80" s="2" t="s">
        <v>30</v>
      </c>
      <c r="E80" s="2" t="s">
        <v>9</v>
      </c>
      <c r="F80" s="66" t="s">
        <v>30</v>
      </c>
      <c r="G80" t="e">
        <f t="shared" si="3"/>
        <v>#N/A</v>
      </c>
      <c r="H80" t="e">
        <f t="shared" si="4"/>
        <v>#N/A</v>
      </c>
      <c r="J80" s="3" t="s">
        <v>106</v>
      </c>
      <c r="K80" s="19" t="s">
        <v>317</v>
      </c>
      <c r="L80" t="str">
        <f t="shared" si="5"/>
        <v>Mensal</v>
      </c>
    </row>
    <row r="81" spans="1:12" ht="18" customHeight="1" x14ac:dyDescent="0.25">
      <c r="A81" s="4">
        <v>80</v>
      </c>
      <c r="B81" s="5" t="s">
        <v>101</v>
      </c>
      <c r="C81" s="4" t="s">
        <v>23</v>
      </c>
      <c r="D81" s="4" t="s">
        <v>30</v>
      </c>
      <c r="E81" s="4" t="s">
        <v>9</v>
      </c>
      <c r="F81" s="66" t="s">
        <v>12</v>
      </c>
      <c r="G81" t="str">
        <f t="shared" si="3"/>
        <v>Mensal</v>
      </c>
      <c r="H81" t="str">
        <f t="shared" si="4"/>
        <v>DIFERENTE</v>
      </c>
      <c r="J81" s="3" t="s">
        <v>110</v>
      </c>
      <c r="K81" s="15" t="s">
        <v>316</v>
      </c>
      <c r="L81" t="str">
        <f t="shared" si="5"/>
        <v>Anual</v>
      </c>
    </row>
    <row r="82" spans="1:12" ht="18" customHeight="1" x14ac:dyDescent="0.25">
      <c r="A82" s="2">
        <v>81</v>
      </c>
      <c r="B82" s="3" t="s">
        <v>102</v>
      </c>
      <c r="C82" s="2" t="s">
        <v>7</v>
      </c>
      <c r="D82" s="2" t="s">
        <v>8</v>
      </c>
      <c r="E82" s="2" t="s">
        <v>9</v>
      </c>
      <c r="F82" s="66" t="s">
        <v>12</v>
      </c>
      <c r="G82" t="str">
        <f t="shared" si="3"/>
        <v>Mensal</v>
      </c>
      <c r="H82" t="str">
        <f t="shared" si="4"/>
        <v>DIFERENTE</v>
      </c>
      <c r="J82" s="5" t="s">
        <v>107</v>
      </c>
      <c r="K82" s="20" t="s">
        <v>316</v>
      </c>
      <c r="L82" t="str">
        <f t="shared" si="5"/>
        <v>Anual</v>
      </c>
    </row>
    <row r="83" spans="1:12" ht="18" customHeight="1" x14ac:dyDescent="0.25">
      <c r="A83" s="6">
        <v>82</v>
      </c>
      <c r="B83" s="7" t="s">
        <v>103</v>
      </c>
      <c r="C83" s="6" t="s">
        <v>23</v>
      </c>
      <c r="D83" s="6" t="s">
        <v>16</v>
      </c>
      <c r="E83" s="6" t="s">
        <v>17</v>
      </c>
      <c r="F83" s="66" t="s">
        <v>8</v>
      </c>
      <c r="G83" t="str">
        <f t="shared" si="3"/>
        <v>Trimestral</v>
      </c>
      <c r="H83" t="str">
        <f t="shared" si="4"/>
        <v>DIFERENTE</v>
      </c>
      <c r="J83" s="7" t="s">
        <v>109</v>
      </c>
      <c r="K83" s="16" t="s">
        <v>317</v>
      </c>
      <c r="L83" t="str">
        <f t="shared" si="5"/>
        <v>Mensal</v>
      </c>
    </row>
    <row r="84" spans="1:12" ht="18" customHeight="1" x14ac:dyDescent="0.25">
      <c r="A84" s="2">
        <v>83</v>
      </c>
      <c r="B84" s="3" t="s">
        <v>104</v>
      </c>
      <c r="C84" s="2" t="s">
        <v>23</v>
      </c>
      <c r="D84" s="2" t="s">
        <v>8</v>
      </c>
      <c r="E84" s="2" t="s">
        <v>9</v>
      </c>
      <c r="F84" s="66" t="s">
        <v>8</v>
      </c>
      <c r="G84" t="str">
        <f t="shared" si="3"/>
        <v>Trimestral</v>
      </c>
      <c r="H84" t="str">
        <f t="shared" si="4"/>
        <v>IGUAL</v>
      </c>
      <c r="J84" s="36" t="s">
        <v>341</v>
      </c>
      <c r="K84" s="15" t="s">
        <v>317</v>
      </c>
      <c r="L84" t="str">
        <f t="shared" si="5"/>
        <v>Mensal</v>
      </c>
    </row>
    <row r="85" spans="1:12" ht="18" customHeight="1" x14ac:dyDescent="0.25">
      <c r="A85" s="6">
        <v>84</v>
      </c>
      <c r="B85" s="7" t="s">
        <v>105</v>
      </c>
      <c r="C85" s="6" t="s">
        <v>15</v>
      </c>
      <c r="D85" s="6" t="s">
        <v>16</v>
      </c>
      <c r="E85" s="6" t="s">
        <v>17</v>
      </c>
      <c r="F85" s="66" t="e">
        <v>#N/A</v>
      </c>
      <c r="G85" t="e">
        <f t="shared" si="3"/>
        <v>#N/A</v>
      </c>
      <c r="H85" t="e">
        <f t="shared" si="4"/>
        <v>#N/A</v>
      </c>
      <c r="J85" s="50" t="s">
        <v>111</v>
      </c>
      <c r="K85" s="15" t="s">
        <v>317</v>
      </c>
      <c r="L85" t="str">
        <f t="shared" si="5"/>
        <v>Mensal</v>
      </c>
    </row>
    <row r="86" spans="1:12" ht="18" customHeight="1" x14ac:dyDescent="0.25">
      <c r="A86" s="2">
        <v>85</v>
      </c>
      <c r="B86" s="3" t="s">
        <v>106</v>
      </c>
      <c r="C86" s="2" t="s">
        <v>52</v>
      </c>
      <c r="D86" s="2" t="s">
        <v>12</v>
      </c>
      <c r="E86" s="2" t="s">
        <v>9</v>
      </c>
      <c r="F86" s="66" t="s">
        <v>12</v>
      </c>
      <c r="G86" t="str">
        <f t="shared" si="3"/>
        <v>Mensal</v>
      </c>
      <c r="H86" t="str">
        <f t="shared" si="4"/>
        <v>IGUAL</v>
      </c>
      <c r="J86" s="42" t="s">
        <v>112</v>
      </c>
      <c r="K86" s="20" t="s">
        <v>316</v>
      </c>
      <c r="L86" t="str">
        <f t="shared" si="5"/>
        <v>Anual</v>
      </c>
    </row>
    <row r="87" spans="1:12" ht="18" customHeight="1" x14ac:dyDescent="0.25">
      <c r="A87" s="4">
        <v>86</v>
      </c>
      <c r="B87" s="5" t="s">
        <v>107</v>
      </c>
      <c r="C87" s="4" t="s">
        <v>23</v>
      </c>
      <c r="D87" s="4" t="s">
        <v>26</v>
      </c>
      <c r="E87" s="4" t="s">
        <v>9</v>
      </c>
      <c r="F87" s="66" t="s">
        <v>26</v>
      </c>
      <c r="G87" t="str">
        <f t="shared" si="3"/>
        <v>Anual</v>
      </c>
      <c r="H87" t="str">
        <f t="shared" si="4"/>
        <v>IGUAL</v>
      </c>
      <c r="J87" s="58" t="s">
        <v>113</v>
      </c>
      <c r="K87" s="30" t="s">
        <v>317</v>
      </c>
      <c r="L87" t="str">
        <f t="shared" si="5"/>
        <v>Mensal</v>
      </c>
    </row>
    <row r="88" spans="1:12" ht="18" customHeight="1" x14ac:dyDescent="0.25">
      <c r="A88" s="2">
        <v>87</v>
      </c>
      <c r="B88" s="3" t="s">
        <v>108</v>
      </c>
      <c r="C88" s="2" t="s">
        <v>23</v>
      </c>
      <c r="D88" s="2" t="s">
        <v>12</v>
      </c>
      <c r="E88" s="2" t="s">
        <v>9</v>
      </c>
      <c r="F88" s="66" t="e">
        <v>#N/A</v>
      </c>
      <c r="G88" t="e">
        <f t="shared" si="3"/>
        <v>#N/A</v>
      </c>
      <c r="H88" t="e">
        <f t="shared" si="4"/>
        <v>#N/A</v>
      </c>
      <c r="J88" s="54" t="s">
        <v>114</v>
      </c>
      <c r="K88" s="18" t="s">
        <v>317</v>
      </c>
      <c r="L88" t="str">
        <f t="shared" si="5"/>
        <v>Mensal</v>
      </c>
    </row>
    <row r="89" spans="1:12" ht="18" customHeight="1" x14ac:dyDescent="0.25">
      <c r="A89" s="6">
        <v>88</v>
      </c>
      <c r="B89" s="7" t="s">
        <v>109</v>
      </c>
      <c r="C89" s="6" t="s">
        <v>23</v>
      </c>
      <c r="D89" s="6" t="s">
        <v>16</v>
      </c>
      <c r="E89" s="6" t="s">
        <v>17</v>
      </c>
      <c r="F89" s="66" t="s">
        <v>12</v>
      </c>
      <c r="G89" t="str">
        <f t="shared" si="3"/>
        <v>Mensal</v>
      </c>
      <c r="H89" t="str">
        <f t="shared" si="4"/>
        <v>DIFERENTE</v>
      </c>
      <c r="J89" s="52" t="s">
        <v>115</v>
      </c>
      <c r="K89" s="27" t="s">
        <v>317</v>
      </c>
      <c r="L89" t="str">
        <f t="shared" si="5"/>
        <v>Mensal</v>
      </c>
    </row>
    <row r="90" spans="1:12" ht="18" customHeight="1" x14ac:dyDescent="0.25">
      <c r="A90" s="2">
        <v>89</v>
      </c>
      <c r="B90" s="3" t="s">
        <v>110</v>
      </c>
      <c r="C90" s="2" t="s">
        <v>11</v>
      </c>
      <c r="D90" s="2" t="s">
        <v>26</v>
      </c>
      <c r="E90" s="2" t="s">
        <v>9</v>
      </c>
      <c r="F90" s="66" t="s">
        <v>26</v>
      </c>
      <c r="G90" t="str">
        <f t="shared" si="3"/>
        <v>Anual</v>
      </c>
      <c r="H90" t="str">
        <f t="shared" si="4"/>
        <v>IGUAL</v>
      </c>
      <c r="J90" s="58" t="s">
        <v>116</v>
      </c>
      <c r="K90" s="30" t="s">
        <v>317</v>
      </c>
      <c r="L90" t="str">
        <f t="shared" si="5"/>
        <v>Mensal</v>
      </c>
    </row>
    <row r="91" spans="1:12" ht="18" customHeight="1" x14ac:dyDescent="0.25">
      <c r="A91" s="6">
        <v>90</v>
      </c>
      <c r="B91" s="7" t="s">
        <v>111</v>
      </c>
      <c r="C91" s="6" t="s">
        <v>23</v>
      </c>
      <c r="D91" s="6" t="s">
        <v>16</v>
      </c>
      <c r="E91" s="6" t="s">
        <v>17</v>
      </c>
      <c r="F91" s="66" t="s">
        <v>12</v>
      </c>
      <c r="G91" t="str">
        <f t="shared" si="3"/>
        <v>Mensal</v>
      </c>
      <c r="H91" t="str">
        <f t="shared" si="4"/>
        <v>DIFERENTE</v>
      </c>
      <c r="J91" s="42" t="s">
        <v>118</v>
      </c>
      <c r="K91" s="20" t="s">
        <v>316</v>
      </c>
      <c r="L91" t="str">
        <f t="shared" si="5"/>
        <v>Anual</v>
      </c>
    </row>
    <row r="92" spans="1:12" ht="18" customHeight="1" x14ac:dyDescent="0.25">
      <c r="A92" s="6">
        <v>91</v>
      </c>
      <c r="B92" s="7" t="s">
        <v>112</v>
      </c>
      <c r="C92" s="6" t="s">
        <v>23</v>
      </c>
      <c r="D92" s="6" t="s">
        <v>16</v>
      </c>
      <c r="E92" s="6" t="s">
        <v>17</v>
      </c>
      <c r="F92" s="66" t="s">
        <v>26</v>
      </c>
      <c r="G92" t="str">
        <f t="shared" si="3"/>
        <v>Anual</v>
      </c>
      <c r="H92" t="str">
        <f t="shared" si="4"/>
        <v>DIFERENTE</v>
      </c>
      <c r="J92" s="50" t="s">
        <v>119</v>
      </c>
      <c r="K92" s="15" t="s">
        <v>319</v>
      </c>
      <c r="L92" t="str">
        <f t="shared" si="5"/>
        <v>Trimestral</v>
      </c>
    </row>
    <row r="93" spans="1:12" ht="18" customHeight="1" x14ac:dyDescent="0.25">
      <c r="A93" s="4">
        <v>92</v>
      </c>
      <c r="B93" s="5" t="s">
        <v>113</v>
      </c>
      <c r="C93" s="4" t="s">
        <v>21</v>
      </c>
      <c r="D93" s="4" t="s">
        <v>12</v>
      </c>
      <c r="E93" s="4" t="s">
        <v>9</v>
      </c>
      <c r="F93" s="66" t="s">
        <v>12</v>
      </c>
      <c r="G93" t="str">
        <f t="shared" si="3"/>
        <v>Mensal</v>
      </c>
      <c r="H93" t="str">
        <f t="shared" si="4"/>
        <v>IGUAL</v>
      </c>
      <c r="J93" s="60" t="s">
        <v>122</v>
      </c>
      <c r="K93" s="32" t="s">
        <v>316</v>
      </c>
      <c r="L93" t="str">
        <f t="shared" si="5"/>
        <v>Anual</v>
      </c>
    </row>
    <row r="94" spans="1:12" ht="18" customHeight="1" x14ac:dyDescent="0.25">
      <c r="A94" s="2">
        <v>93</v>
      </c>
      <c r="B94" s="3" t="s">
        <v>114</v>
      </c>
      <c r="C94" s="2" t="s">
        <v>46</v>
      </c>
      <c r="D94" s="2" t="s">
        <v>30</v>
      </c>
      <c r="E94" s="2" t="s">
        <v>9</v>
      </c>
      <c r="F94" s="66" t="s">
        <v>12</v>
      </c>
      <c r="G94" t="str">
        <f t="shared" si="3"/>
        <v>Mensal</v>
      </c>
      <c r="H94" t="str">
        <f t="shared" si="4"/>
        <v>DIFERENTE</v>
      </c>
      <c r="J94" s="5" t="s">
        <v>123</v>
      </c>
      <c r="K94" s="30" t="s">
        <v>317</v>
      </c>
      <c r="L94" t="str">
        <f t="shared" si="5"/>
        <v>Mensal</v>
      </c>
    </row>
    <row r="95" spans="1:12" ht="18" customHeight="1" x14ac:dyDescent="0.25">
      <c r="A95" s="6">
        <v>94</v>
      </c>
      <c r="B95" s="7" t="s">
        <v>115</v>
      </c>
      <c r="C95" s="6" t="s">
        <v>11</v>
      </c>
      <c r="D95" s="6" t="s">
        <v>16</v>
      </c>
      <c r="E95" s="6" t="s">
        <v>17</v>
      </c>
      <c r="F95" s="66" t="s">
        <v>12</v>
      </c>
      <c r="G95" t="str">
        <f t="shared" si="3"/>
        <v>Mensal</v>
      </c>
      <c r="H95" t="str">
        <f t="shared" si="4"/>
        <v>DIFERENTE</v>
      </c>
      <c r="J95" s="42" t="s">
        <v>124</v>
      </c>
      <c r="K95" s="20" t="s">
        <v>316</v>
      </c>
      <c r="L95" t="str">
        <f t="shared" si="5"/>
        <v>Anual</v>
      </c>
    </row>
    <row r="96" spans="1:12" ht="18" customHeight="1" x14ac:dyDescent="0.25">
      <c r="A96" s="2">
        <v>95</v>
      </c>
      <c r="B96" s="3" t="s">
        <v>116</v>
      </c>
      <c r="C96" s="2" t="s">
        <v>23</v>
      </c>
      <c r="D96" s="2" t="s">
        <v>30</v>
      </c>
      <c r="E96" s="2" t="s">
        <v>9</v>
      </c>
      <c r="F96" s="66" t="s">
        <v>12</v>
      </c>
      <c r="G96" t="str">
        <f t="shared" si="3"/>
        <v>Mensal</v>
      </c>
      <c r="H96" t="str">
        <f t="shared" si="4"/>
        <v>DIFERENTE</v>
      </c>
      <c r="J96" s="5" t="s">
        <v>125</v>
      </c>
      <c r="K96" s="16" t="s">
        <v>319</v>
      </c>
      <c r="L96" t="str">
        <f t="shared" si="5"/>
        <v>Trimestral</v>
      </c>
    </row>
    <row r="97" spans="1:12" ht="18" customHeight="1" x14ac:dyDescent="0.25">
      <c r="A97" s="4">
        <v>96</v>
      </c>
      <c r="B97" s="5" t="s">
        <v>117</v>
      </c>
      <c r="C97" s="4" t="s">
        <v>23</v>
      </c>
      <c r="D97" s="4" t="s">
        <v>8</v>
      </c>
      <c r="E97" s="4" t="s">
        <v>9</v>
      </c>
      <c r="F97" s="66" t="e">
        <v>#N/A</v>
      </c>
      <c r="G97" t="e">
        <f t="shared" si="3"/>
        <v>#N/A</v>
      </c>
      <c r="H97" t="e">
        <f t="shared" si="4"/>
        <v>#N/A</v>
      </c>
      <c r="J97" s="5" t="s">
        <v>129</v>
      </c>
      <c r="K97" s="20" t="s">
        <v>317</v>
      </c>
      <c r="L97" t="str">
        <f t="shared" si="5"/>
        <v>Mensal</v>
      </c>
    </row>
    <row r="98" spans="1:12" ht="18" customHeight="1" x14ac:dyDescent="0.25">
      <c r="A98" s="6">
        <v>97</v>
      </c>
      <c r="B98" s="7" t="s">
        <v>118</v>
      </c>
      <c r="C98" s="6" t="s">
        <v>23</v>
      </c>
      <c r="D98" s="6" t="s">
        <v>16</v>
      </c>
      <c r="E98" s="6" t="s">
        <v>17</v>
      </c>
      <c r="F98" s="66" t="s">
        <v>26</v>
      </c>
      <c r="G98" t="str">
        <f t="shared" si="3"/>
        <v>Anual</v>
      </c>
      <c r="H98" t="str">
        <f t="shared" si="4"/>
        <v>DIFERENTE</v>
      </c>
      <c r="J98" s="58" t="s">
        <v>126</v>
      </c>
      <c r="K98" s="30" t="s">
        <v>316</v>
      </c>
      <c r="L98" t="str">
        <f t="shared" si="5"/>
        <v>Anual</v>
      </c>
    </row>
    <row r="99" spans="1:12" ht="18" customHeight="1" x14ac:dyDescent="0.25">
      <c r="A99" s="6">
        <v>98</v>
      </c>
      <c r="B99" s="7" t="s">
        <v>119</v>
      </c>
      <c r="C99" s="6" t="s">
        <v>23</v>
      </c>
      <c r="D99" s="6" t="s">
        <v>16</v>
      </c>
      <c r="E99" s="6" t="s">
        <v>17</v>
      </c>
      <c r="F99" s="66" t="s">
        <v>8</v>
      </c>
      <c r="G99" t="str">
        <f t="shared" si="3"/>
        <v>Trimestral</v>
      </c>
      <c r="H99" t="str">
        <f t="shared" si="4"/>
        <v>DIFERENTE</v>
      </c>
      <c r="J99" s="7" t="s">
        <v>127</v>
      </c>
      <c r="K99" s="18" t="s">
        <v>317</v>
      </c>
      <c r="L99" t="str">
        <f t="shared" si="5"/>
        <v>Mensal</v>
      </c>
    </row>
    <row r="100" spans="1:12" ht="18" customHeight="1" x14ac:dyDescent="0.25">
      <c r="A100" s="6">
        <v>99</v>
      </c>
      <c r="B100" s="7" t="s">
        <v>120</v>
      </c>
      <c r="C100" s="6" t="s">
        <v>23</v>
      </c>
      <c r="D100" s="6" t="s">
        <v>16</v>
      </c>
      <c r="E100" s="6" t="s">
        <v>17</v>
      </c>
      <c r="F100" s="66" t="e">
        <v>#N/A</v>
      </c>
      <c r="G100" t="e">
        <f t="shared" si="3"/>
        <v>#N/A</v>
      </c>
      <c r="H100" t="e">
        <f t="shared" si="4"/>
        <v>#N/A</v>
      </c>
      <c r="J100" s="50" t="s">
        <v>128</v>
      </c>
      <c r="K100" s="15" t="s">
        <v>317</v>
      </c>
      <c r="L100" t="str">
        <f t="shared" si="5"/>
        <v>Mensal</v>
      </c>
    </row>
    <row r="101" spans="1:12" ht="18" customHeight="1" x14ac:dyDescent="0.25">
      <c r="A101" s="4">
        <v>100</v>
      </c>
      <c r="B101" s="5" t="s">
        <v>121</v>
      </c>
      <c r="C101" s="4" t="s">
        <v>15</v>
      </c>
      <c r="D101" s="4" t="s">
        <v>12</v>
      </c>
      <c r="E101" s="4" t="s">
        <v>9</v>
      </c>
      <c r="F101" s="66" t="s">
        <v>12</v>
      </c>
      <c r="G101" t="str">
        <f t="shared" si="3"/>
        <v>Mensal</v>
      </c>
      <c r="H101" t="str">
        <f t="shared" si="4"/>
        <v>IGUAL</v>
      </c>
      <c r="J101" s="50" t="s">
        <v>130</v>
      </c>
      <c r="K101" s="15" t="s">
        <v>319</v>
      </c>
      <c r="L101" t="str">
        <f t="shared" si="5"/>
        <v>Trimestral</v>
      </c>
    </row>
    <row r="102" spans="1:12" ht="18" customHeight="1" x14ac:dyDescent="0.25">
      <c r="A102" s="2">
        <v>101</v>
      </c>
      <c r="B102" s="3" t="s">
        <v>122</v>
      </c>
      <c r="C102" s="2" t="s">
        <v>23</v>
      </c>
      <c r="D102" s="2" t="s">
        <v>30</v>
      </c>
      <c r="E102" s="2" t="s">
        <v>9</v>
      </c>
      <c r="F102" s="66" t="s">
        <v>26</v>
      </c>
      <c r="G102" t="str">
        <f t="shared" si="3"/>
        <v>Anual</v>
      </c>
      <c r="H102" t="str">
        <f t="shared" si="4"/>
        <v>DIFERENTE</v>
      </c>
      <c r="J102" s="5" t="s">
        <v>131</v>
      </c>
      <c r="K102" s="16" t="s">
        <v>315</v>
      </c>
      <c r="L102" t="str">
        <f t="shared" si="5"/>
        <v>Semestral</v>
      </c>
    </row>
    <row r="103" spans="1:12" ht="18" customHeight="1" x14ac:dyDescent="0.25">
      <c r="A103" s="4">
        <v>102</v>
      </c>
      <c r="B103" s="5" t="s">
        <v>123</v>
      </c>
      <c r="C103" s="4" t="s">
        <v>23</v>
      </c>
      <c r="D103" s="4" t="s">
        <v>12</v>
      </c>
      <c r="E103" s="4" t="s">
        <v>9</v>
      </c>
      <c r="F103" s="66" t="s">
        <v>12</v>
      </c>
      <c r="G103" t="str">
        <f t="shared" si="3"/>
        <v>Mensal</v>
      </c>
      <c r="H103" t="str">
        <f t="shared" si="4"/>
        <v>IGUAL</v>
      </c>
      <c r="J103" s="5" t="s">
        <v>121</v>
      </c>
      <c r="K103" s="30" t="s">
        <v>317</v>
      </c>
      <c r="L103" t="str">
        <f t="shared" si="5"/>
        <v>Mensal</v>
      </c>
    </row>
    <row r="104" spans="1:12" ht="18" customHeight="1" x14ac:dyDescent="0.25">
      <c r="A104" s="6">
        <v>103</v>
      </c>
      <c r="B104" s="7" t="s">
        <v>124</v>
      </c>
      <c r="C104" s="6" t="s">
        <v>23</v>
      </c>
      <c r="D104" s="6" t="s">
        <v>16</v>
      </c>
      <c r="E104" s="6" t="s">
        <v>17</v>
      </c>
      <c r="F104" s="66" t="s">
        <v>26</v>
      </c>
      <c r="G104" t="str">
        <f t="shared" si="3"/>
        <v>Anual</v>
      </c>
      <c r="H104" t="str">
        <f t="shared" si="4"/>
        <v>DIFERENTE</v>
      </c>
      <c r="J104" s="50" t="s">
        <v>132</v>
      </c>
      <c r="K104" s="15" t="s">
        <v>317</v>
      </c>
      <c r="L104" t="str">
        <f t="shared" si="5"/>
        <v>Mensal</v>
      </c>
    </row>
    <row r="105" spans="1:12" ht="18" customHeight="1" x14ac:dyDescent="0.25">
      <c r="A105" s="4">
        <v>104</v>
      </c>
      <c r="B105" s="5" t="s">
        <v>125</v>
      </c>
      <c r="C105" s="4" t="s">
        <v>23</v>
      </c>
      <c r="D105" s="4" t="s">
        <v>30</v>
      </c>
      <c r="E105" s="4" t="s">
        <v>9</v>
      </c>
      <c r="F105" s="66" t="s">
        <v>8</v>
      </c>
      <c r="G105" t="str">
        <f t="shared" si="3"/>
        <v>Trimestral</v>
      </c>
      <c r="H105" t="str">
        <f t="shared" si="4"/>
        <v>DIFERENTE</v>
      </c>
      <c r="J105" s="7" t="s">
        <v>133</v>
      </c>
      <c r="K105" s="20" t="s">
        <v>319</v>
      </c>
      <c r="L105" t="str">
        <f t="shared" si="5"/>
        <v>Trimestral</v>
      </c>
    </row>
    <row r="106" spans="1:12" ht="18" customHeight="1" x14ac:dyDescent="0.25">
      <c r="A106" s="2">
        <v>105</v>
      </c>
      <c r="B106" s="3" t="s">
        <v>126</v>
      </c>
      <c r="C106" s="2" t="s">
        <v>7</v>
      </c>
      <c r="D106" s="2" t="s">
        <v>8</v>
      </c>
      <c r="E106" s="2" t="s">
        <v>9</v>
      </c>
      <c r="F106" s="66" t="s">
        <v>26</v>
      </c>
      <c r="G106" t="str">
        <f t="shared" si="3"/>
        <v>Anual</v>
      </c>
      <c r="H106" t="str">
        <f t="shared" si="4"/>
        <v>DIFERENTE</v>
      </c>
      <c r="J106" s="39" t="s">
        <v>136</v>
      </c>
      <c r="K106" s="18" t="s">
        <v>316</v>
      </c>
      <c r="L106" t="str">
        <f t="shared" si="5"/>
        <v>Anual</v>
      </c>
    </row>
    <row r="107" spans="1:12" ht="18" customHeight="1" x14ac:dyDescent="0.25">
      <c r="A107" s="6">
        <v>106</v>
      </c>
      <c r="B107" s="7" t="s">
        <v>127</v>
      </c>
      <c r="C107" s="6" t="s">
        <v>15</v>
      </c>
      <c r="D107" s="6" t="s">
        <v>16</v>
      </c>
      <c r="E107" s="6" t="s">
        <v>17</v>
      </c>
      <c r="F107" s="66" t="s">
        <v>12</v>
      </c>
      <c r="G107" t="str">
        <f t="shared" si="3"/>
        <v>Mensal</v>
      </c>
      <c r="H107" t="str">
        <f t="shared" si="4"/>
        <v>DIFERENTE</v>
      </c>
      <c r="J107" s="41" t="s">
        <v>324</v>
      </c>
      <c r="K107" s="19" t="s">
        <v>315</v>
      </c>
      <c r="L107" t="str">
        <f t="shared" si="5"/>
        <v>Semestral</v>
      </c>
    </row>
    <row r="108" spans="1:12" ht="18" customHeight="1" x14ac:dyDescent="0.25">
      <c r="A108" s="6">
        <v>107</v>
      </c>
      <c r="B108" s="7" t="s">
        <v>128</v>
      </c>
      <c r="C108" s="6" t="s">
        <v>15</v>
      </c>
      <c r="D108" s="6" t="s">
        <v>16</v>
      </c>
      <c r="E108" s="6" t="s">
        <v>17</v>
      </c>
      <c r="F108" s="66" t="s">
        <v>12</v>
      </c>
      <c r="G108" t="str">
        <f t="shared" si="3"/>
        <v>Mensal</v>
      </c>
      <c r="H108" t="str">
        <f t="shared" si="4"/>
        <v>DIFERENTE</v>
      </c>
      <c r="J108" s="38" t="s">
        <v>134</v>
      </c>
      <c r="K108" s="17" t="s">
        <v>316</v>
      </c>
      <c r="L108" t="str">
        <f t="shared" si="5"/>
        <v>Anual</v>
      </c>
    </row>
    <row r="109" spans="1:12" ht="18" customHeight="1" x14ac:dyDescent="0.25">
      <c r="A109" s="4">
        <v>108</v>
      </c>
      <c r="B109" s="5" t="s">
        <v>129</v>
      </c>
      <c r="C109" s="4" t="s">
        <v>23</v>
      </c>
      <c r="D109" s="4" t="s">
        <v>12</v>
      </c>
      <c r="E109" s="4" t="s">
        <v>9</v>
      </c>
      <c r="F109" s="66" t="s">
        <v>12</v>
      </c>
      <c r="G109" t="str">
        <f t="shared" si="3"/>
        <v>Mensal</v>
      </c>
      <c r="H109" t="str">
        <f t="shared" si="4"/>
        <v>IGUAL</v>
      </c>
      <c r="J109" s="3" t="s">
        <v>137</v>
      </c>
      <c r="K109" s="20" t="s">
        <v>316</v>
      </c>
      <c r="L109" t="str">
        <f t="shared" si="5"/>
        <v>Anual</v>
      </c>
    </row>
    <row r="110" spans="1:12" ht="18" customHeight="1" x14ac:dyDescent="0.25">
      <c r="A110" s="6">
        <v>109</v>
      </c>
      <c r="B110" s="7" t="s">
        <v>130</v>
      </c>
      <c r="C110" s="6" t="s">
        <v>7</v>
      </c>
      <c r="D110" s="6" t="s">
        <v>16</v>
      </c>
      <c r="E110" s="6" t="s">
        <v>17</v>
      </c>
      <c r="F110" s="66" t="s">
        <v>8</v>
      </c>
      <c r="G110" t="str">
        <f t="shared" si="3"/>
        <v>Trimestral</v>
      </c>
      <c r="H110" t="str">
        <f t="shared" si="4"/>
        <v>DIFERENTE</v>
      </c>
      <c r="J110" s="50" t="s">
        <v>139</v>
      </c>
      <c r="K110" s="15" t="s">
        <v>317</v>
      </c>
      <c r="L110" t="str">
        <f t="shared" si="5"/>
        <v>Mensal</v>
      </c>
    </row>
    <row r="111" spans="1:12" ht="18" customHeight="1" x14ac:dyDescent="0.25">
      <c r="A111" s="4">
        <v>110</v>
      </c>
      <c r="B111" s="5" t="s">
        <v>131</v>
      </c>
      <c r="C111" s="4" t="s">
        <v>23</v>
      </c>
      <c r="D111" s="4" t="s">
        <v>30</v>
      </c>
      <c r="E111" s="4" t="s">
        <v>9</v>
      </c>
      <c r="F111" s="66" t="s">
        <v>30</v>
      </c>
      <c r="G111" t="str">
        <f t="shared" si="3"/>
        <v>Semestral</v>
      </c>
      <c r="H111" t="str">
        <f t="shared" si="4"/>
        <v>IGUAL</v>
      </c>
      <c r="J111" s="7" t="s">
        <v>140</v>
      </c>
      <c r="K111" s="16" t="s">
        <v>317</v>
      </c>
      <c r="L111" t="str">
        <f t="shared" si="5"/>
        <v>Mensal</v>
      </c>
    </row>
    <row r="112" spans="1:12" ht="18" customHeight="1" x14ac:dyDescent="0.25">
      <c r="A112" s="6">
        <v>111</v>
      </c>
      <c r="B112" s="7" t="s">
        <v>132</v>
      </c>
      <c r="C112" s="6" t="s">
        <v>23</v>
      </c>
      <c r="D112" s="6" t="s">
        <v>16</v>
      </c>
      <c r="E112" s="6" t="s">
        <v>17</v>
      </c>
      <c r="F112" s="66" t="s">
        <v>12</v>
      </c>
      <c r="G112" t="str">
        <f t="shared" si="3"/>
        <v>Mensal</v>
      </c>
      <c r="H112" t="str">
        <f t="shared" si="4"/>
        <v>DIFERENTE</v>
      </c>
      <c r="J112" s="59" t="s">
        <v>141</v>
      </c>
      <c r="K112" s="31" t="s">
        <v>316</v>
      </c>
      <c r="L112" t="str">
        <f t="shared" si="5"/>
        <v>Anual</v>
      </c>
    </row>
    <row r="113" spans="1:12" ht="18" customHeight="1" x14ac:dyDescent="0.25">
      <c r="A113" s="6">
        <v>112</v>
      </c>
      <c r="B113" s="7" t="s">
        <v>133</v>
      </c>
      <c r="C113" s="6" t="s">
        <v>11</v>
      </c>
      <c r="D113" s="6" t="s">
        <v>16</v>
      </c>
      <c r="E113" s="6" t="s">
        <v>17</v>
      </c>
      <c r="F113" s="66" t="s">
        <v>8</v>
      </c>
      <c r="G113" t="str">
        <f t="shared" si="3"/>
        <v>Trimestral</v>
      </c>
      <c r="H113" t="str">
        <f t="shared" si="4"/>
        <v>DIFERENTE</v>
      </c>
      <c r="J113" s="50" t="s">
        <v>142</v>
      </c>
      <c r="K113" s="15" t="s">
        <v>317</v>
      </c>
      <c r="L113" t="str">
        <f t="shared" si="5"/>
        <v>Mensal</v>
      </c>
    </row>
    <row r="114" spans="1:12" ht="18" customHeight="1" x14ac:dyDescent="0.25">
      <c r="A114" s="6">
        <v>113</v>
      </c>
      <c r="B114" s="7" t="s">
        <v>134</v>
      </c>
      <c r="C114" s="6" t="s">
        <v>135</v>
      </c>
      <c r="D114" s="6" t="s">
        <v>16</v>
      </c>
      <c r="E114" s="6" t="s">
        <v>17</v>
      </c>
      <c r="F114" s="66" t="s">
        <v>26</v>
      </c>
      <c r="G114" t="str">
        <f t="shared" si="3"/>
        <v>Anual</v>
      </c>
      <c r="H114" t="str">
        <f t="shared" si="4"/>
        <v>DIFERENTE</v>
      </c>
      <c r="J114" s="7" t="s">
        <v>143</v>
      </c>
      <c r="K114" s="15" t="s">
        <v>319</v>
      </c>
      <c r="L114" t="str">
        <f t="shared" si="5"/>
        <v>Trimestral</v>
      </c>
    </row>
    <row r="115" spans="1:12" ht="18" customHeight="1" x14ac:dyDescent="0.25">
      <c r="A115" s="4">
        <v>114</v>
      </c>
      <c r="B115" s="5" t="s">
        <v>136</v>
      </c>
      <c r="C115" s="4" t="s">
        <v>46</v>
      </c>
      <c r="D115" s="4" t="s">
        <v>26</v>
      </c>
      <c r="E115" s="4" t="s">
        <v>9</v>
      </c>
      <c r="F115" s="66" t="s">
        <v>26</v>
      </c>
      <c r="G115" t="str">
        <f t="shared" si="3"/>
        <v>Anual</v>
      </c>
      <c r="H115" t="str">
        <f t="shared" si="4"/>
        <v>IGUAL</v>
      </c>
      <c r="J115" s="46" t="s">
        <v>144</v>
      </c>
      <c r="K115" s="19" t="s">
        <v>317</v>
      </c>
      <c r="L115" t="str">
        <f t="shared" si="5"/>
        <v>Mensal</v>
      </c>
    </row>
    <row r="116" spans="1:12" ht="18" customHeight="1" x14ac:dyDescent="0.25">
      <c r="A116" s="2">
        <v>115</v>
      </c>
      <c r="B116" s="3" t="s">
        <v>137</v>
      </c>
      <c r="C116" s="2" t="s">
        <v>23</v>
      </c>
      <c r="D116" s="2" t="s">
        <v>26</v>
      </c>
      <c r="E116" s="2" t="s">
        <v>9</v>
      </c>
      <c r="F116" s="66" t="s">
        <v>26</v>
      </c>
      <c r="G116" t="str">
        <f t="shared" si="3"/>
        <v>Anual</v>
      </c>
      <c r="H116" t="str">
        <f t="shared" si="4"/>
        <v>IGUAL</v>
      </c>
      <c r="J116" s="36" t="s">
        <v>145</v>
      </c>
      <c r="K116" s="15" t="s">
        <v>316</v>
      </c>
      <c r="L116" t="str">
        <f t="shared" si="5"/>
        <v>Anual</v>
      </c>
    </row>
    <row r="117" spans="1:12" ht="18" customHeight="1" x14ac:dyDescent="0.25">
      <c r="A117" s="6">
        <v>116</v>
      </c>
      <c r="B117" s="7" t="s">
        <v>138</v>
      </c>
      <c r="C117" s="6" t="s">
        <v>7</v>
      </c>
      <c r="D117" s="6" t="s">
        <v>16</v>
      </c>
      <c r="E117" s="6" t="s">
        <v>17</v>
      </c>
      <c r="F117" s="66" t="e">
        <v>#N/A</v>
      </c>
      <c r="G117" t="e">
        <f t="shared" si="3"/>
        <v>#N/A</v>
      </c>
      <c r="H117" t="e">
        <f t="shared" si="4"/>
        <v>#N/A</v>
      </c>
      <c r="J117" s="40" t="s">
        <v>329</v>
      </c>
      <c r="K117" s="23" t="s">
        <v>320</v>
      </c>
      <c r="L117" t="str">
        <f t="shared" si="5"/>
        <v>Mensal</v>
      </c>
    </row>
    <row r="118" spans="1:12" ht="18" customHeight="1" x14ac:dyDescent="0.25">
      <c r="A118" s="2">
        <v>117</v>
      </c>
      <c r="B118" s="3" t="s">
        <v>139</v>
      </c>
      <c r="C118" s="2" t="s">
        <v>15</v>
      </c>
      <c r="D118" s="2" t="s">
        <v>12</v>
      </c>
      <c r="E118" s="2" t="s">
        <v>9</v>
      </c>
      <c r="F118" s="66" t="s">
        <v>12</v>
      </c>
      <c r="G118" t="str">
        <f t="shared" si="3"/>
        <v>Mensal</v>
      </c>
      <c r="H118" t="str">
        <f t="shared" si="4"/>
        <v>IGUAL</v>
      </c>
      <c r="J118" s="7" t="s">
        <v>158</v>
      </c>
      <c r="K118" s="15" t="s">
        <v>317</v>
      </c>
      <c r="L118" t="str">
        <f t="shared" si="5"/>
        <v>Mensal</v>
      </c>
    </row>
    <row r="119" spans="1:12" ht="18" customHeight="1" x14ac:dyDescent="0.25">
      <c r="A119" s="6">
        <v>118</v>
      </c>
      <c r="B119" s="7" t="s">
        <v>140</v>
      </c>
      <c r="C119" s="6" t="s">
        <v>11</v>
      </c>
      <c r="D119" s="6" t="s">
        <v>16</v>
      </c>
      <c r="E119" s="6" t="s">
        <v>17</v>
      </c>
      <c r="F119" s="66" t="s">
        <v>12</v>
      </c>
      <c r="G119" t="str">
        <f t="shared" si="3"/>
        <v>Mensal</v>
      </c>
      <c r="H119" t="str">
        <f t="shared" si="4"/>
        <v>DIFERENTE</v>
      </c>
      <c r="J119" s="5" t="s">
        <v>148</v>
      </c>
      <c r="K119" s="31" t="s">
        <v>316</v>
      </c>
      <c r="L119" t="str">
        <f t="shared" si="5"/>
        <v>Anual</v>
      </c>
    </row>
    <row r="120" spans="1:12" ht="18" customHeight="1" x14ac:dyDescent="0.25">
      <c r="A120" s="2">
        <v>119</v>
      </c>
      <c r="B120" s="3" t="s">
        <v>141</v>
      </c>
      <c r="C120" s="2" t="s">
        <v>7</v>
      </c>
      <c r="D120" s="2" t="s">
        <v>8</v>
      </c>
      <c r="E120" s="2" t="s">
        <v>9</v>
      </c>
      <c r="F120" s="66" t="s">
        <v>26</v>
      </c>
      <c r="G120" t="str">
        <f t="shared" si="3"/>
        <v>Anual</v>
      </c>
      <c r="H120" t="str">
        <f t="shared" si="4"/>
        <v>DIFERENTE</v>
      </c>
      <c r="J120" s="3" t="s">
        <v>149</v>
      </c>
      <c r="K120" s="15" t="s">
        <v>317</v>
      </c>
      <c r="L120" t="str">
        <f t="shared" si="5"/>
        <v>Mensal</v>
      </c>
    </row>
    <row r="121" spans="1:12" ht="18" customHeight="1" x14ac:dyDescent="0.25">
      <c r="A121" s="6">
        <v>120</v>
      </c>
      <c r="B121" s="7" t="s">
        <v>142</v>
      </c>
      <c r="C121" s="6" t="s">
        <v>7</v>
      </c>
      <c r="D121" s="6" t="s">
        <v>16</v>
      </c>
      <c r="E121" s="6" t="s">
        <v>17</v>
      </c>
      <c r="F121" s="66" t="s">
        <v>12</v>
      </c>
      <c r="G121" t="str">
        <f t="shared" si="3"/>
        <v>Mensal</v>
      </c>
      <c r="H121" t="str">
        <f t="shared" si="4"/>
        <v>DIFERENTE</v>
      </c>
      <c r="J121" s="5" t="s">
        <v>150</v>
      </c>
      <c r="K121" s="15" t="s">
        <v>317</v>
      </c>
      <c r="L121" t="str">
        <f t="shared" si="5"/>
        <v>Mensal</v>
      </c>
    </row>
    <row r="122" spans="1:12" ht="18" customHeight="1" x14ac:dyDescent="0.25">
      <c r="A122" s="6">
        <v>121</v>
      </c>
      <c r="B122" s="7" t="s">
        <v>143</v>
      </c>
      <c r="C122" s="6" t="s">
        <v>52</v>
      </c>
      <c r="D122" s="6" t="s">
        <v>16</v>
      </c>
      <c r="E122" s="6" t="s">
        <v>17</v>
      </c>
      <c r="F122" s="66" t="s">
        <v>8</v>
      </c>
      <c r="G122" t="str">
        <f t="shared" si="3"/>
        <v>Trimestral</v>
      </c>
      <c r="H122" t="str">
        <f t="shared" si="4"/>
        <v>DIFERENTE</v>
      </c>
      <c r="J122" s="37" t="s">
        <v>151</v>
      </c>
      <c r="K122" s="16" t="s">
        <v>317</v>
      </c>
      <c r="L122" t="str">
        <f t="shared" si="5"/>
        <v>Mensal</v>
      </c>
    </row>
    <row r="123" spans="1:12" ht="18" customHeight="1" x14ac:dyDescent="0.25">
      <c r="A123" s="6">
        <v>122</v>
      </c>
      <c r="B123" s="7" t="s">
        <v>144</v>
      </c>
      <c r="C123" s="6" t="s">
        <v>11</v>
      </c>
      <c r="D123" s="6" t="s">
        <v>16</v>
      </c>
      <c r="E123" s="6" t="s">
        <v>17</v>
      </c>
      <c r="F123" s="66" t="s">
        <v>12</v>
      </c>
      <c r="G123" t="str">
        <f t="shared" si="3"/>
        <v>Mensal</v>
      </c>
      <c r="H123" t="str">
        <f t="shared" si="4"/>
        <v>DIFERENTE</v>
      </c>
      <c r="J123" s="42" t="s">
        <v>147</v>
      </c>
      <c r="K123" s="20" t="s">
        <v>316</v>
      </c>
      <c r="L123" t="str">
        <f t="shared" si="5"/>
        <v>Anual</v>
      </c>
    </row>
    <row r="124" spans="1:12" ht="18" customHeight="1" x14ac:dyDescent="0.25">
      <c r="A124" s="2">
        <v>123</v>
      </c>
      <c r="B124" s="3" t="s">
        <v>145</v>
      </c>
      <c r="C124" s="2" t="s">
        <v>15</v>
      </c>
      <c r="D124" s="2" t="s">
        <v>12</v>
      </c>
      <c r="E124" s="2" t="s">
        <v>9</v>
      </c>
      <c r="F124" s="66" t="s">
        <v>26</v>
      </c>
      <c r="G124" t="str">
        <f t="shared" si="3"/>
        <v>Anual</v>
      </c>
      <c r="H124" t="str">
        <f t="shared" si="4"/>
        <v>DIFERENTE</v>
      </c>
      <c r="J124" s="7" t="s">
        <v>146</v>
      </c>
      <c r="K124" s="15" t="s">
        <v>317</v>
      </c>
      <c r="L124" t="str">
        <f t="shared" si="5"/>
        <v>Mensal</v>
      </c>
    </row>
    <row r="125" spans="1:12" ht="18" customHeight="1" x14ac:dyDescent="0.25">
      <c r="A125" s="6">
        <v>124</v>
      </c>
      <c r="B125" s="7" t="s">
        <v>146</v>
      </c>
      <c r="C125" s="6" t="s">
        <v>11</v>
      </c>
      <c r="D125" s="6" t="s">
        <v>16</v>
      </c>
      <c r="E125" s="6" t="s">
        <v>17</v>
      </c>
      <c r="F125" s="66" t="s">
        <v>12</v>
      </c>
      <c r="G125" t="str">
        <f t="shared" si="3"/>
        <v>Mensal</v>
      </c>
      <c r="H125" t="str">
        <f t="shared" si="4"/>
        <v>DIFERENTE</v>
      </c>
      <c r="J125" s="5" t="s">
        <v>152</v>
      </c>
      <c r="K125" s="19" t="s">
        <v>316</v>
      </c>
      <c r="L125" t="str">
        <f t="shared" si="5"/>
        <v>Anual</v>
      </c>
    </row>
    <row r="126" spans="1:12" ht="18" customHeight="1" x14ac:dyDescent="0.25">
      <c r="A126" s="2">
        <v>125</v>
      </c>
      <c r="B126" s="3" t="s">
        <v>147</v>
      </c>
      <c r="C126" s="2" t="s">
        <v>11</v>
      </c>
      <c r="D126" s="2" t="s">
        <v>12</v>
      </c>
      <c r="E126" s="2" t="s">
        <v>9</v>
      </c>
      <c r="F126" s="66" t="s">
        <v>26</v>
      </c>
      <c r="G126" t="str">
        <f t="shared" si="3"/>
        <v>Anual</v>
      </c>
      <c r="H126" t="str">
        <f t="shared" si="4"/>
        <v>DIFERENTE</v>
      </c>
      <c r="J126" s="36" t="s">
        <v>336</v>
      </c>
      <c r="K126" s="15" t="s">
        <v>317</v>
      </c>
      <c r="L126" t="str">
        <f t="shared" si="5"/>
        <v>Mensal</v>
      </c>
    </row>
    <row r="127" spans="1:12" ht="18" customHeight="1" x14ac:dyDescent="0.25">
      <c r="A127" s="4">
        <v>126</v>
      </c>
      <c r="B127" s="5" t="s">
        <v>148</v>
      </c>
      <c r="C127" s="4" t="s">
        <v>23</v>
      </c>
      <c r="D127" s="4" t="s">
        <v>30</v>
      </c>
      <c r="E127" s="4" t="s">
        <v>9</v>
      </c>
      <c r="F127" s="66" t="s">
        <v>26</v>
      </c>
      <c r="G127" t="str">
        <f t="shared" si="3"/>
        <v>Anual</v>
      </c>
      <c r="H127" t="str">
        <f t="shared" si="4"/>
        <v>DIFERENTE</v>
      </c>
      <c r="J127" s="5" t="s">
        <v>154</v>
      </c>
      <c r="K127" s="31" t="s">
        <v>319</v>
      </c>
      <c r="L127" t="str">
        <f t="shared" si="5"/>
        <v>Trimestral</v>
      </c>
    </row>
    <row r="128" spans="1:12" ht="18" customHeight="1" x14ac:dyDescent="0.25">
      <c r="A128" s="2">
        <v>127</v>
      </c>
      <c r="B128" s="3" t="s">
        <v>149</v>
      </c>
      <c r="C128" s="2" t="s">
        <v>21</v>
      </c>
      <c r="D128" s="2" t="s">
        <v>12</v>
      </c>
      <c r="E128" s="2" t="s">
        <v>9</v>
      </c>
      <c r="F128" s="66" t="s">
        <v>12</v>
      </c>
      <c r="G128" t="str">
        <f t="shared" si="3"/>
        <v>Mensal</v>
      </c>
      <c r="H128" t="str">
        <f t="shared" si="4"/>
        <v>IGUAL</v>
      </c>
      <c r="J128" s="7" t="s">
        <v>157</v>
      </c>
      <c r="K128" s="16" t="s">
        <v>316</v>
      </c>
      <c r="L128" t="str">
        <f t="shared" si="5"/>
        <v>Anual</v>
      </c>
    </row>
    <row r="129" spans="1:12" ht="18" customHeight="1" x14ac:dyDescent="0.25">
      <c r="A129" s="4">
        <v>128</v>
      </c>
      <c r="B129" s="5" t="s">
        <v>150</v>
      </c>
      <c r="C129" s="4" t="s">
        <v>23</v>
      </c>
      <c r="D129" s="4" t="s">
        <v>30</v>
      </c>
      <c r="E129" s="4" t="s">
        <v>9</v>
      </c>
      <c r="F129" s="66" t="s">
        <v>12</v>
      </c>
      <c r="G129" t="str">
        <f t="shared" si="3"/>
        <v>Mensal</v>
      </c>
      <c r="H129" t="str">
        <f t="shared" si="4"/>
        <v>DIFERENTE</v>
      </c>
      <c r="J129" s="50" t="s">
        <v>159</v>
      </c>
      <c r="K129" s="15" t="s">
        <v>317</v>
      </c>
      <c r="L129" t="str">
        <f t="shared" si="5"/>
        <v>Mensal</v>
      </c>
    </row>
    <row r="130" spans="1:12" ht="18" customHeight="1" x14ac:dyDescent="0.25">
      <c r="A130" s="2">
        <v>129</v>
      </c>
      <c r="B130" s="3" t="s">
        <v>151</v>
      </c>
      <c r="C130" s="2" t="s">
        <v>15</v>
      </c>
      <c r="D130" s="2" t="s">
        <v>12</v>
      </c>
      <c r="E130" s="2" t="s">
        <v>9</v>
      </c>
      <c r="F130" s="66" t="s">
        <v>12</v>
      </c>
      <c r="G130" t="str">
        <f t="shared" si="3"/>
        <v>Mensal</v>
      </c>
      <c r="H130" t="str">
        <f t="shared" si="4"/>
        <v>IGUAL</v>
      </c>
      <c r="J130" s="3" t="s">
        <v>160</v>
      </c>
      <c r="K130" s="20" t="s">
        <v>316</v>
      </c>
      <c r="L130" t="str">
        <f t="shared" si="5"/>
        <v>Anual</v>
      </c>
    </row>
    <row r="131" spans="1:12" ht="18" customHeight="1" x14ac:dyDescent="0.25">
      <c r="A131" s="4">
        <v>130</v>
      </c>
      <c r="B131" s="5" t="s">
        <v>152</v>
      </c>
      <c r="C131" s="4" t="s">
        <v>46</v>
      </c>
      <c r="D131" s="4" t="s">
        <v>26</v>
      </c>
      <c r="E131" s="4" t="s">
        <v>9</v>
      </c>
      <c r="F131" s="66" t="s">
        <v>26</v>
      </c>
      <c r="G131" t="str">
        <f t="shared" ref="G131:G194" si="6">VLOOKUP(B131,$J$2:$L$276,3,FALSE)</f>
        <v>Anual</v>
      </c>
      <c r="H131" t="str">
        <f t="shared" ref="H131:H194" si="7">IF(D131=G131,"IGUAL","DIFERENTE")</f>
        <v>IGUAL</v>
      </c>
      <c r="J131" s="39" t="s">
        <v>161</v>
      </c>
      <c r="K131" s="18" t="s">
        <v>317</v>
      </c>
      <c r="L131" t="str">
        <f t="shared" si="5"/>
        <v>Mensal</v>
      </c>
    </row>
    <row r="132" spans="1:12" ht="18" customHeight="1" x14ac:dyDescent="0.25">
      <c r="A132" s="6">
        <v>131</v>
      </c>
      <c r="B132" s="7" t="s">
        <v>153</v>
      </c>
      <c r="C132" s="6" t="s">
        <v>23</v>
      </c>
      <c r="D132" s="6" t="s">
        <v>16</v>
      </c>
      <c r="E132" s="6" t="s">
        <v>17</v>
      </c>
      <c r="F132" s="66" t="e">
        <v>#N/A</v>
      </c>
      <c r="G132" t="e">
        <f t="shared" si="6"/>
        <v>#N/A</v>
      </c>
      <c r="H132" t="e">
        <f t="shared" si="7"/>
        <v>#N/A</v>
      </c>
      <c r="J132" s="3" t="s">
        <v>162</v>
      </c>
      <c r="K132" s="32" t="s">
        <v>316</v>
      </c>
      <c r="L132" t="str">
        <f t="shared" ref="L132:L195" si="8">VLOOKUP(K132,$O$3:$P$11,2,FALSE)</f>
        <v>Anual</v>
      </c>
    </row>
    <row r="133" spans="1:12" ht="18" customHeight="1" x14ac:dyDescent="0.25">
      <c r="A133" s="4">
        <v>132</v>
      </c>
      <c r="B133" s="5" t="s">
        <v>154</v>
      </c>
      <c r="C133" s="4" t="s">
        <v>11</v>
      </c>
      <c r="D133" s="4" t="s">
        <v>12</v>
      </c>
      <c r="E133" s="4" t="s">
        <v>9</v>
      </c>
      <c r="F133" s="66" t="s">
        <v>8</v>
      </c>
      <c r="G133" t="str">
        <f t="shared" si="6"/>
        <v>Trimestral</v>
      </c>
      <c r="H133" t="str">
        <f t="shared" si="7"/>
        <v>DIFERENTE</v>
      </c>
      <c r="J133" s="37" t="s">
        <v>163</v>
      </c>
      <c r="K133" s="16" t="s">
        <v>317</v>
      </c>
      <c r="L133" t="str">
        <f t="shared" si="8"/>
        <v>Mensal</v>
      </c>
    </row>
    <row r="134" spans="1:12" ht="18" customHeight="1" x14ac:dyDescent="0.25">
      <c r="A134" s="2">
        <v>133</v>
      </c>
      <c r="B134" s="3" t="s">
        <v>155</v>
      </c>
      <c r="C134" s="2" t="s">
        <v>156</v>
      </c>
      <c r="D134" s="2" t="s">
        <v>30</v>
      </c>
      <c r="E134" s="2" t="s">
        <v>9</v>
      </c>
      <c r="F134" s="66" t="e">
        <v>#N/A</v>
      </c>
      <c r="G134" t="e">
        <f t="shared" si="6"/>
        <v>#N/A</v>
      </c>
      <c r="H134" t="e">
        <f t="shared" si="7"/>
        <v>#N/A</v>
      </c>
      <c r="J134" s="50" t="s">
        <v>164</v>
      </c>
      <c r="K134" s="15" t="s">
        <v>315</v>
      </c>
      <c r="L134" t="str">
        <f t="shared" si="8"/>
        <v>Semestral</v>
      </c>
    </row>
    <row r="135" spans="1:12" ht="18" customHeight="1" x14ac:dyDescent="0.25">
      <c r="A135" s="6">
        <v>134</v>
      </c>
      <c r="B135" s="7" t="s">
        <v>157</v>
      </c>
      <c r="C135" s="6" t="s">
        <v>11</v>
      </c>
      <c r="D135" s="6" t="s">
        <v>16</v>
      </c>
      <c r="E135" s="6" t="s">
        <v>17</v>
      </c>
      <c r="F135" s="66" t="s">
        <v>26</v>
      </c>
      <c r="G135" t="str">
        <f t="shared" si="6"/>
        <v>Anual</v>
      </c>
      <c r="H135" t="str">
        <f t="shared" si="7"/>
        <v>DIFERENTE</v>
      </c>
      <c r="J135" s="7" t="s">
        <v>165</v>
      </c>
      <c r="K135" s="20" t="s">
        <v>319</v>
      </c>
      <c r="L135" t="str">
        <f t="shared" si="8"/>
        <v>Trimestral</v>
      </c>
    </row>
    <row r="136" spans="1:12" ht="18" customHeight="1" x14ac:dyDescent="0.25">
      <c r="A136" s="6">
        <v>135</v>
      </c>
      <c r="B136" s="7" t="s">
        <v>158</v>
      </c>
      <c r="C136" s="6" t="s">
        <v>23</v>
      </c>
      <c r="D136" s="6" t="s">
        <v>16</v>
      </c>
      <c r="E136" s="6" t="s">
        <v>17</v>
      </c>
      <c r="F136" s="66" t="s">
        <v>12</v>
      </c>
      <c r="G136" t="str">
        <f t="shared" si="6"/>
        <v>Mensal</v>
      </c>
      <c r="H136" t="str">
        <f t="shared" si="7"/>
        <v>DIFERENTE</v>
      </c>
      <c r="J136" s="42" t="s">
        <v>166</v>
      </c>
      <c r="K136" s="20" t="s">
        <v>316</v>
      </c>
      <c r="L136" t="str">
        <f t="shared" si="8"/>
        <v>Anual</v>
      </c>
    </row>
    <row r="137" spans="1:12" ht="18" customHeight="1" x14ac:dyDescent="0.25">
      <c r="A137" s="4">
        <v>136</v>
      </c>
      <c r="B137" s="5" t="s">
        <v>159</v>
      </c>
      <c r="C137" s="4" t="s">
        <v>23</v>
      </c>
      <c r="D137" s="4" t="s">
        <v>30</v>
      </c>
      <c r="E137" s="4" t="s">
        <v>9</v>
      </c>
      <c r="F137" s="66" t="s">
        <v>12</v>
      </c>
      <c r="G137" t="str">
        <f t="shared" si="6"/>
        <v>Mensal</v>
      </c>
      <c r="H137" t="str">
        <f t="shared" si="7"/>
        <v>DIFERENTE</v>
      </c>
      <c r="J137" s="42" t="s">
        <v>167</v>
      </c>
      <c r="K137" s="20" t="s">
        <v>316</v>
      </c>
      <c r="L137" t="str">
        <f t="shared" si="8"/>
        <v>Anual</v>
      </c>
    </row>
    <row r="138" spans="1:12" ht="18" customHeight="1" x14ac:dyDescent="0.25">
      <c r="A138" s="2">
        <v>137</v>
      </c>
      <c r="B138" s="3" t="s">
        <v>160</v>
      </c>
      <c r="C138" s="2" t="s">
        <v>23</v>
      </c>
      <c r="D138" s="2" t="s">
        <v>26</v>
      </c>
      <c r="E138" s="2" t="s">
        <v>9</v>
      </c>
      <c r="F138" s="66" t="s">
        <v>26</v>
      </c>
      <c r="G138" t="str">
        <f t="shared" si="6"/>
        <v>Anual</v>
      </c>
      <c r="H138" t="str">
        <f t="shared" si="7"/>
        <v>IGUAL</v>
      </c>
      <c r="J138" s="3" t="s">
        <v>168</v>
      </c>
      <c r="K138" s="31" t="s">
        <v>319</v>
      </c>
      <c r="L138" t="str">
        <f t="shared" si="8"/>
        <v>Trimestral</v>
      </c>
    </row>
    <row r="139" spans="1:12" ht="18" customHeight="1" x14ac:dyDescent="0.25">
      <c r="A139" s="6">
        <v>138</v>
      </c>
      <c r="B139" s="7" t="s">
        <v>161</v>
      </c>
      <c r="C139" s="6" t="s">
        <v>11</v>
      </c>
      <c r="D139" s="6" t="s">
        <v>16</v>
      </c>
      <c r="E139" s="6" t="s">
        <v>17</v>
      </c>
      <c r="F139" s="66" t="s">
        <v>12</v>
      </c>
      <c r="G139" t="str">
        <f t="shared" si="6"/>
        <v>Mensal</v>
      </c>
      <c r="H139" t="str">
        <f t="shared" si="7"/>
        <v>DIFERENTE</v>
      </c>
      <c r="J139" s="42" t="s">
        <v>169</v>
      </c>
      <c r="K139" s="20" t="s">
        <v>315</v>
      </c>
      <c r="L139" t="str">
        <f t="shared" si="8"/>
        <v>Semestral</v>
      </c>
    </row>
    <row r="140" spans="1:12" ht="18" customHeight="1" x14ac:dyDescent="0.25">
      <c r="A140" s="2">
        <v>139</v>
      </c>
      <c r="B140" s="3" t="s">
        <v>162</v>
      </c>
      <c r="C140" s="2" t="s">
        <v>23</v>
      </c>
      <c r="D140" s="2" t="s">
        <v>30</v>
      </c>
      <c r="E140" s="2" t="s">
        <v>9</v>
      </c>
      <c r="F140" s="66" t="s">
        <v>26</v>
      </c>
      <c r="G140" t="str">
        <f t="shared" si="6"/>
        <v>Anual</v>
      </c>
      <c r="H140" t="str">
        <f t="shared" si="7"/>
        <v>DIFERENTE</v>
      </c>
      <c r="J140" s="3" t="s">
        <v>170</v>
      </c>
      <c r="K140" s="20" t="s">
        <v>316</v>
      </c>
      <c r="L140" t="str">
        <f t="shared" si="8"/>
        <v>Anual</v>
      </c>
    </row>
    <row r="141" spans="1:12" ht="18" customHeight="1" x14ac:dyDescent="0.25">
      <c r="A141" s="4">
        <v>140</v>
      </c>
      <c r="B141" s="5" t="s">
        <v>163</v>
      </c>
      <c r="C141" s="4" t="s">
        <v>21</v>
      </c>
      <c r="D141" s="4" t="s">
        <v>12</v>
      </c>
      <c r="E141" s="4" t="s">
        <v>9</v>
      </c>
      <c r="F141" s="66" t="s">
        <v>12</v>
      </c>
      <c r="G141" t="str">
        <f t="shared" si="6"/>
        <v>Mensal</v>
      </c>
      <c r="H141" t="str">
        <f t="shared" si="7"/>
        <v>IGUAL</v>
      </c>
      <c r="J141" s="7" t="s">
        <v>171</v>
      </c>
      <c r="K141" s="20" t="s">
        <v>316</v>
      </c>
      <c r="L141" t="str">
        <f t="shared" si="8"/>
        <v>Anual</v>
      </c>
    </row>
    <row r="142" spans="1:12" ht="18" customHeight="1" x14ac:dyDescent="0.25">
      <c r="A142" s="6">
        <v>141</v>
      </c>
      <c r="B142" s="7" t="s">
        <v>164</v>
      </c>
      <c r="C142" s="6" t="s">
        <v>15</v>
      </c>
      <c r="D142" s="6" t="s">
        <v>16</v>
      </c>
      <c r="E142" s="6" t="s">
        <v>17</v>
      </c>
      <c r="F142" s="66" t="s">
        <v>30</v>
      </c>
      <c r="G142" t="str">
        <f t="shared" si="6"/>
        <v>Semestral</v>
      </c>
      <c r="H142" t="str">
        <f t="shared" si="7"/>
        <v>DIFERENTE</v>
      </c>
      <c r="J142" s="58" t="s">
        <v>172</v>
      </c>
      <c r="K142" s="30" t="s">
        <v>317</v>
      </c>
      <c r="L142" t="str">
        <f t="shared" si="8"/>
        <v>Mensal</v>
      </c>
    </row>
    <row r="143" spans="1:12" ht="18" customHeight="1" x14ac:dyDescent="0.25">
      <c r="A143" s="6">
        <v>142</v>
      </c>
      <c r="B143" s="7" t="s">
        <v>165</v>
      </c>
      <c r="C143" s="6" t="s">
        <v>23</v>
      </c>
      <c r="D143" s="6" t="s">
        <v>16</v>
      </c>
      <c r="E143" s="6" t="s">
        <v>17</v>
      </c>
      <c r="F143" s="66" t="s">
        <v>8</v>
      </c>
      <c r="G143" t="str">
        <f t="shared" si="6"/>
        <v>Trimestral</v>
      </c>
      <c r="H143" t="str">
        <f t="shared" si="7"/>
        <v>DIFERENTE</v>
      </c>
      <c r="J143" s="7" t="s">
        <v>173</v>
      </c>
      <c r="K143" s="15" t="s">
        <v>317</v>
      </c>
      <c r="L143" t="str">
        <f t="shared" si="8"/>
        <v>Mensal</v>
      </c>
    </row>
    <row r="144" spans="1:12" ht="18" customHeight="1" x14ac:dyDescent="0.25">
      <c r="A144" s="2">
        <v>143</v>
      </c>
      <c r="B144" s="3" t="s">
        <v>166</v>
      </c>
      <c r="C144" s="2" t="s">
        <v>23</v>
      </c>
      <c r="D144" s="2" t="s">
        <v>26</v>
      </c>
      <c r="E144" s="2" t="s">
        <v>9</v>
      </c>
      <c r="F144" s="66" t="s">
        <v>26</v>
      </c>
      <c r="G144" t="str">
        <f t="shared" si="6"/>
        <v>Anual</v>
      </c>
      <c r="H144" t="str">
        <f t="shared" si="7"/>
        <v>IGUAL</v>
      </c>
      <c r="J144" s="3" t="s">
        <v>191</v>
      </c>
      <c r="K144" s="15" t="s">
        <v>317</v>
      </c>
      <c r="L144" t="str">
        <f t="shared" si="8"/>
        <v>Mensal</v>
      </c>
    </row>
    <row r="145" spans="1:12" ht="18" customHeight="1" x14ac:dyDescent="0.25">
      <c r="A145" s="6">
        <v>144</v>
      </c>
      <c r="B145" s="7" t="s">
        <v>167</v>
      </c>
      <c r="C145" s="6" t="s">
        <v>23</v>
      </c>
      <c r="D145" s="6" t="s">
        <v>16</v>
      </c>
      <c r="E145" s="6" t="s">
        <v>17</v>
      </c>
      <c r="F145" s="66" t="s">
        <v>26</v>
      </c>
      <c r="G145" t="str">
        <f t="shared" si="6"/>
        <v>Anual</v>
      </c>
      <c r="H145" t="str">
        <f t="shared" si="7"/>
        <v>DIFERENTE</v>
      </c>
      <c r="J145" s="3" t="s">
        <v>174</v>
      </c>
      <c r="K145" s="15" t="s">
        <v>319</v>
      </c>
      <c r="L145" t="str">
        <f t="shared" si="8"/>
        <v>Trimestral</v>
      </c>
    </row>
    <row r="146" spans="1:12" ht="18" customHeight="1" x14ac:dyDescent="0.25">
      <c r="A146" s="2">
        <v>145</v>
      </c>
      <c r="B146" s="3" t="s">
        <v>168</v>
      </c>
      <c r="C146" s="2" t="s">
        <v>23</v>
      </c>
      <c r="D146" s="2" t="s">
        <v>8</v>
      </c>
      <c r="E146" s="2" t="s">
        <v>9</v>
      </c>
      <c r="F146" s="66" t="s">
        <v>8</v>
      </c>
      <c r="G146" t="str">
        <f t="shared" si="6"/>
        <v>Trimestral</v>
      </c>
      <c r="H146" t="str">
        <f t="shared" si="7"/>
        <v>IGUAL</v>
      </c>
      <c r="J146" s="58" t="s">
        <v>176</v>
      </c>
      <c r="K146" s="30" t="s">
        <v>317</v>
      </c>
      <c r="L146" t="str">
        <f t="shared" si="8"/>
        <v>Mensal</v>
      </c>
    </row>
    <row r="147" spans="1:12" ht="18" customHeight="1" x14ac:dyDescent="0.25">
      <c r="A147" s="6">
        <v>146</v>
      </c>
      <c r="B147" s="7" t="s">
        <v>169</v>
      </c>
      <c r="C147" s="6" t="s">
        <v>46</v>
      </c>
      <c r="D147" s="6" t="s">
        <v>16</v>
      </c>
      <c r="E147" s="6" t="s">
        <v>17</v>
      </c>
      <c r="F147" s="66" t="s">
        <v>30</v>
      </c>
      <c r="G147" t="str">
        <f t="shared" si="6"/>
        <v>Semestral</v>
      </c>
      <c r="H147" t="str">
        <f t="shared" si="7"/>
        <v>DIFERENTE</v>
      </c>
      <c r="J147" s="5" t="s">
        <v>177</v>
      </c>
      <c r="K147" s="20" t="s">
        <v>316</v>
      </c>
      <c r="L147" t="str">
        <f t="shared" si="8"/>
        <v>Anual</v>
      </c>
    </row>
    <row r="148" spans="1:12" ht="18" customHeight="1" x14ac:dyDescent="0.25">
      <c r="A148" s="2">
        <v>147</v>
      </c>
      <c r="B148" s="3" t="s">
        <v>170</v>
      </c>
      <c r="C148" s="2" t="s">
        <v>23</v>
      </c>
      <c r="D148" s="2" t="s">
        <v>26</v>
      </c>
      <c r="E148" s="2" t="s">
        <v>9</v>
      </c>
      <c r="F148" s="66" t="s">
        <v>26</v>
      </c>
      <c r="G148" t="str">
        <f t="shared" si="6"/>
        <v>Anual</v>
      </c>
      <c r="H148" t="str">
        <f t="shared" si="7"/>
        <v>IGUAL</v>
      </c>
      <c r="J148" s="42" t="s">
        <v>178</v>
      </c>
      <c r="K148" s="20" t="s">
        <v>316</v>
      </c>
      <c r="L148" t="str">
        <f t="shared" si="8"/>
        <v>Anual</v>
      </c>
    </row>
    <row r="149" spans="1:12" ht="18" customHeight="1" x14ac:dyDescent="0.25">
      <c r="A149" s="6">
        <v>148</v>
      </c>
      <c r="B149" s="7" t="s">
        <v>171</v>
      </c>
      <c r="C149" s="6" t="s">
        <v>7</v>
      </c>
      <c r="D149" s="6" t="s">
        <v>16</v>
      </c>
      <c r="E149" s="6" t="s">
        <v>17</v>
      </c>
      <c r="F149" s="66" t="s">
        <v>26</v>
      </c>
      <c r="G149" t="str">
        <f t="shared" si="6"/>
        <v>Anual</v>
      </c>
      <c r="H149" t="str">
        <f t="shared" si="7"/>
        <v>DIFERENTE</v>
      </c>
      <c r="J149" s="59" t="s">
        <v>180</v>
      </c>
      <c r="K149" s="31" t="s">
        <v>316</v>
      </c>
      <c r="L149" t="str">
        <f t="shared" si="8"/>
        <v>Anual</v>
      </c>
    </row>
    <row r="150" spans="1:12" ht="18" customHeight="1" x14ac:dyDescent="0.25">
      <c r="A150" s="2">
        <v>149</v>
      </c>
      <c r="B150" s="3" t="s">
        <v>172</v>
      </c>
      <c r="C150" s="2" t="s">
        <v>23</v>
      </c>
      <c r="D150" s="2" t="s">
        <v>12</v>
      </c>
      <c r="E150" s="2" t="s">
        <v>9</v>
      </c>
      <c r="F150" s="66" t="s">
        <v>12</v>
      </c>
      <c r="G150" t="str">
        <f t="shared" si="6"/>
        <v>Mensal</v>
      </c>
      <c r="H150" t="str">
        <f t="shared" si="7"/>
        <v>IGUAL</v>
      </c>
      <c r="J150" s="37" t="s">
        <v>181</v>
      </c>
      <c r="K150" s="16" t="s">
        <v>317</v>
      </c>
      <c r="L150" t="str">
        <f t="shared" si="8"/>
        <v>Mensal</v>
      </c>
    </row>
    <row r="151" spans="1:12" ht="18" customHeight="1" x14ac:dyDescent="0.25">
      <c r="A151" s="6">
        <v>150</v>
      </c>
      <c r="B151" s="7" t="s">
        <v>173</v>
      </c>
      <c r="C151" s="6" t="s">
        <v>46</v>
      </c>
      <c r="D151" s="6" t="s">
        <v>16</v>
      </c>
      <c r="E151" s="6" t="s">
        <v>17</v>
      </c>
      <c r="F151" s="66" t="s">
        <v>12</v>
      </c>
      <c r="G151" t="str">
        <f t="shared" si="6"/>
        <v>Mensal</v>
      </c>
      <c r="H151" t="str">
        <f t="shared" si="7"/>
        <v>DIFERENTE</v>
      </c>
      <c r="J151" s="62" t="s">
        <v>340</v>
      </c>
      <c r="K151" s="34" t="s">
        <v>317</v>
      </c>
      <c r="L151" t="str">
        <f t="shared" si="8"/>
        <v>Mensal</v>
      </c>
    </row>
    <row r="152" spans="1:12" ht="18" customHeight="1" x14ac:dyDescent="0.25">
      <c r="A152" s="2">
        <v>151</v>
      </c>
      <c r="B152" s="3" t="s">
        <v>174</v>
      </c>
      <c r="C152" s="2" t="s">
        <v>15</v>
      </c>
      <c r="D152" s="2" t="s">
        <v>12</v>
      </c>
      <c r="E152" s="2" t="s">
        <v>9</v>
      </c>
      <c r="F152" s="66" t="s">
        <v>8</v>
      </c>
      <c r="G152" t="str">
        <f t="shared" si="6"/>
        <v>Trimestral</v>
      </c>
      <c r="H152" t="str">
        <f t="shared" si="7"/>
        <v>DIFERENTE</v>
      </c>
      <c r="J152" s="36" t="s">
        <v>182</v>
      </c>
      <c r="K152" s="15" t="s">
        <v>317</v>
      </c>
      <c r="L152" t="str">
        <f t="shared" si="8"/>
        <v>Mensal</v>
      </c>
    </row>
    <row r="153" spans="1:12" ht="18" customHeight="1" x14ac:dyDescent="0.25">
      <c r="A153" s="4">
        <v>152</v>
      </c>
      <c r="B153" s="5" t="s">
        <v>175</v>
      </c>
      <c r="C153" s="4" t="s">
        <v>23</v>
      </c>
      <c r="D153" s="4" t="s">
        <v>8</v>
      </c>
      <c r="E153" s="4" t="s">
        <v>9</v>
      </c>
      <c r="F153" s="66" t="e">
        <v>#N/A</v>
      </c>
      <c r="G153" t="e">
        <f t="shared" si="6"/>
        <v>#N/A</v>
      </c>
      <c r="H153" t="e">
        <f t="shared" si="7"/>
        <v>#N/A</v>
      </c>
      <c r="J153" s="47" t="s">
        <v>183</v>
      </c>
      <c r="K153" s="20" t="s">
        <v>316</v>
      </c>
      <c r="L153" t="str">
        <f t="shared" si="8"/>
        <v>Anual</v>
      </c>
    </row>
    <row r="154" spans="1:12" ht="18" customHeight="1" x14ac:dyDescent="0.25">
      <c r="A154" s="2">
        <v>153</v>
      </c>
      <c r="B154" s="3" t="s">
        <v>176</v>
      </c>
      <c r="C154" s="2" t="s">
        <v>23</v>
      </c>
      <c r="D154" s="2" t="s">
        <v>30</v>
      </c>
      <c r="E154" s="2" t="s">
        <v>9</v>
      </c>
      <c r="F154" s="66" t="s">
        <v>12</v>
      </c>
      <c r="G154" t="str">
        <f t="shared" si="6"/>
        <v>Mensal</v>
      </c>
      <c r="H154" t="str">
        <f t="shared" si="7"/>
        <v>DIFERENTE</v>
      </c>
      <c r="J154" s="49" t="s">
        <v>184</v>
      </c>
      <c r="K154" s="16" t="s">
        <v>317</v>
      </c>
      <c r="L154" t="str">
        <f t="shared" si="8"/>
        <v>Mensal</v>
      </c>
    </row>
    <row r="155" spans="1:12" ht="18" customHeight="1" x14ac:dyDescent="0.25">
      <c r="A155" s="4">
        <v>154</v>
      </c>
      <c r="B155" s="5" t="s">
        <v>177</v>
      </c>
      <c r="C155" s="4" t="s">
        <v>23</v>
      </c>
      <c r="D155" s="4" t="s">
        <v>26</v>
      </c>
      <c r="E155" s="4" t="s">
        <v>9</v>
      </c>
      <c r="F155" s="66" t="s">
        <v>26</v>
      </c>
      <c r="G155" t="str">
        <f t="shared" si="6"/>
        <v>Anual</v>
      </c>
      <c r="H155" t="str">
        <f t="shared" si="7"/>
        <v>IGUAL</v>
      </c>
      <c r="J155" s="36" t="s">
        <v>331</v>
      </c>
      <c r="K155" s="15" t="s">
        <v>317</v>
      </c>
      <c r="L155" t="str">
        <f t="shared" si="8"/>
        <v>Mensal</v>
      </c>
    </row>
    <row r="156" spans="1:12" ht="18" customHeight="1" x14ac:dyDescent="0.25">
      <c r="A156" s="2">
        <v>155</v>
      </c>
      <c r="B156" s="3" t="s">
        <v>178</v>
      </c>
      <c r="C156" s="2" t="s">
        <v>179</v>
      </c>
      <c r="D156" s="2" t="s">
        <v>26</v>
      </c>
      <c r="E156" s="2" t="s">
        <v>9</v>
      </c>
      <c r="F156" s="66" t="s">
        <v>26</v>
      </c>
      <c r="G156" t="str">
        <f t="shared" si="6"/>
        <v>Anual</v>
      </c>
      <c r="H156" t="str">
        <f t="shared" si="7"/>
        <v>IGUAL</v>
      </c>
      <c r="J156" s="3" t="s">
        <v>185</v>
      </c>
      <c r="K156" s="16" t="s">
        <v>316</v>
      </c>
      <c r="L156" t="str">
        <f t="shared" si="8"/>
        <v>Anual</v>
      </c>
    </row>
    <row r="157" spans="1:12" ht="18" customHeight="1" x14ac:dyDescent="0.25">
      <c r="A157" s="4">
        <v>156</v>
      </c>
      <c r="B157" s="5" t="s">
        <v>180</v>
      </c>
      <c r="C157" s="4" t="s">
        <v>7</v>
      </c>
      <c r="D157" s="4" t="s">
        <v>8</v>
      </c>
      <c r="E157" s="4" t="s">
        <v>9</v>
      </c>
      <c r="F157" s="66" t="s">
        <v>26</v>
      </c>
      <c r="G157" t="str">
        <f t="shared" si="6"/>
        <v>Anual</v>
      </c>
      <c r="H157" t="str">
        <f t="shared" si="7"/>
        <v>DIFERENTE</v>
      </c>
      <c r="J157" s="46" t="s">
        <v>186</v>
      </c>
      <c r="K157" s="19" t="s">
        <v>317</v>
      </c>
      <c r="L157" t="str">
        <f t="shared" si="8"/>
        <v>Mensal</v>
      </c>
    </row>
    <row r="158" spans="1:12" ht="18" customHeight="1" x14ac:dyDescent="0.25">
      <c r="A158" s="2">
        <v>157</v>
      </c>
      <c r="B158" s="3" t="s">
        <v>181</v>
      </c>
      <c r="C158" s="2" t="s">
        <v>23</v>
      </c>
      <c r="D158" s="2" t="s">
        <v>30</v>
      </c>
      <c r="E158" s="2" t="s">
        <v>9</v>
      </c>
      <c r="F158" s="66" t="s">
        <v>12</v>
      </c>
      <c r="G158" t="str">
        <f t="shared" si="6"/>
        <v>Mensal</v>
      </c>
      <c r="H158" t="str">
        <f t="shared" si="7"/>
        <v>DIFERENTE</v>
      </c>
      <c r="J158" s="58" t="s">
        <v>187</v>
      </c>
      <c r="K158" s="30" t="s">
        <v>317</v>
      </c>
      <c r="L158" t="str">
        <f t="shared" si="8"/>
        <v>Mensal</v>
      </c>
    </row>
    <row r="159" spans="1:12" ht="18" customHeight="1" x14ac:dyDescent="0.25">
      <c r="A159" s="4">
        <v>158</v>
      </c>
      <c r="B159" s="5" t="s">
        <v>182</v>
      </c>
      <c r="C159" s="4" t="s">
        <v>23</v>
      </c>
      <c r="D159" s="4" t="s">
        <v>30</v>
      </c>
      <c r="E159" s="4" t="s">
        <v>9</v>
      </c>
      <c r="F159" s="66" t="s">
        <v>12</v>
      </c>
      <c r="G159" t="str">
        <f t="shared" si="6"/>
        <v>Mensal</v>
      </c>
      <c r="H159" t="str">
        <f t="shared" si="7"/>
        <v>DIFERENTE</v>
      </c>
      <c r="J159" s="38" t="s">
        <v>188</v>
      </c>
      <c r="K159" s="17" t="s">
        <v>316</v>
      </c>
      <c r="L159" t="str">
        <f t="shared" si="8"/>
        <v>Anual</v>
      </c>
    </row>
    <row r="160" spans="1:12" ht="18" customHeight="1" x14ac:dyDescent="0.25">
      <c r="A160" s="2">
        <v>159</v>
      </c>
      <c r="B160" s="3" t="s">
        <v>183</v>
      </c>
      <c r="C160" s="2" t="s">
        <v>23</v>
      </c>
      <c r="D160" s="2" t="s">
        <v>26</v>
      </c>
      <c r="E160" s="2" t="s">
        <v>9</v>
      </c>
      <c r="F160" s="66" t="s">
        <v>26</v>
      </c>
      <c r="G160" t="str">
        <f t="shared" si="6"/>
        <v>Anual</v>
      </c>
      <c r="H160" t="str">
        <f t="shared" si="7"/>
        <v>IGUAL</v>
      </c>
      <c r="J160" s="42" t="s">
        <v>337</v>
      </c>
      <c r="K160" s="20" t="s">
        <v>316</v>
      </c>
      <c r="L160" t="str">
        <f t="shared" si="8"/>
        <v>Anual</v>
      </c>
    </row>
    <row r="161" spans="1:12" ht="18" customHeight="1" x14ac:dyDescent="0.25">
      <c r="A161" s="4">
        <v>160</v>
      </c>
      <c r="B161" s="5" t="s">
        <v>184</v>
      </c>
      <c r="C161" s="4" t="s">
        <v>23</v>
      </c>
      <c r="D161" s="4" t="s">
        <v>12</v>
      </c>
      <c r="E161" s="4" t="s">
        <v>9</v>
      </c>
      <c r="F161" s="66" t="s">
        <v>12</v>
      </c>
      <c r="G161" t="str">
        <f t="shared" si="6"/>
        <v>Mensal</v>
      </c>
      <c r="H161" t="str">
        <f t="shared" si="7"/>
        <v>IGUAL</v>
      </c>
      <c r="J161" s="42" t="s">
        <v>189</v>
      </c>
      <c r="K161" s="20" t="s">
        <v>317</v>
      </c>
      <c r="L161" t="str">
        <f t="shared" si="8"/>
        <v>Mensal</v>
      </c>
    </row>
    <row r="162" spans="1:12" ht="18" customHeight="1" x14ac:dyDescent="0.25">
      <c r="A162" s="2">
        <v>161</v>
      </c>
      <c r="B162" s="3" t="s">
        <v>185</v>
      </c>
      <c r="C162" s="2" t="s">
        <v>19</v>
      </c>
      <c r="D162" s="2" t="s">
        <v>26</v>
      </c>
      <c r="E162" s="2" t="s">
        <v>9</v>
      </c>
      <c r="F162" s="66" t="s">
        <v>26</v>
      </c>
      <c r="G162" t="str">
        <f t="shared" si="6"/>
        <v>Anual</v>
      </c>
      <c r="H162" t="str">
        <f t="shared" si="7"/>
        <v>IGUAL</v>
      </c>
      <c r="J162" s="5" t="s">
        <v>190</v>
      </c>
      <c r="K162" s="15" t="s">
        <v>319</v>
      </c>
      <c r="L162" t="str">
        <f t="shared" si="8"/>
        <v>Trimestral</v>
      </c>
    </row>
    <row r="163" spans="1:12" ht="18" customHeight="1" x14ac:dyDescent="0.25">
      <c r="A163" s="4">
        <v>162</v>
      </c>
      <c r="B163" s="5" t="s">
        <v>186</v>
      </c>
      <c r="C163" s="4" t="s">
        <v>11</v>
      </c>
      <c r="D163" s="4" t="s">
        <v>12</v>
      </c>
      <c r="E163" s="4" t="s">
        <v>9</v>
      </c>
      <c r="F163" s="66" t="s">
        <v>12</v>
      </c>
      <c r="G163" t="str">
        <f t="shared" si="6"/>
        <v>Mensal</v>
      </c>
      <c r="H163" t="str">
        <f t="shared" si="7"/>
        <v>IGUAL</v>
      </c>
      <c r="J163" s="5" t="s">
        <v>192</v>
      </c>
      <c r="K163" s="30" t="s">
        <v>317</v>
      </c>
      <c r="L163" t="str">
        <f t="shared" si="8"/>
        <v>Mensal</v>
      </c>
    </row>
    <row r="164" spans="1:12" ht="18" customHeight="1" x14ac:dyDescent="0.25">
      <c r="A164" s="2">
        <v>163</v>
      </c>
      <c r="B164" s="3" t="s">
        <v>187</v>
      </c>
      <c r="C164" s="2" t="s">
        <v>21</v>
      </c>
      <c r="D164" s="2" t="s">
        <v>12</v>
      </c>
      <c r="E164" s="2" t="s">
        <v>9</v>
      </c>
      <c r="F164" s="66" t="s">
        <v>12</v>
      </c>
      <c r="G164" t="str">
        <f t="shared" si="6"/>
        <v>Mensal</v>
      </c>
      <c r="H164" t="str">
        <f t="shared" si="7"/>
        <v>IGUAL</v>
      </c>
      <c r="J164" s="3" t="s">
        <v>249</v>
      </c>
      <c r="K164" s="16" t="s">
        <v>317</v>
      </c>
      <c r="L164" t="str">
        <f t="shared" si="8"/>
        <v>Mensal</v>
      </c>
    </row>
    <row r="165" spans="1:12" ht="18" customHeight="1" x14ac:dyDescent="0.25">
      <c r="A165" s="4">
        <v>164</v>
      </c>
      <c r="B165" s="5" t="s">
        <v>188</v>
      </c>
      <c r="C165" s="4" t="s">
        <v>11</v>
      </c>
      <c r="D165" s="4" t="s">
        <v>26</v>
      </c>
      <c r="E165" s="4" t="s">
        <v>9</v>
      </c>
      <c r="F165" s="66" t="s">
        <v>26</v>
      </c>
      <c r="G165" t="str">
        <f t="shared" si="6"/>
        <v>Anual</v>
      </c>
      <c r="H165" t="str">
        <f t="shared" si="7"/>
        <v>IGUAL</v>
      </c>
      <c r="J165" s="5" t="s">
        <v>250</v>
      </c>
      <c r="K165" s="30" t="s">
        <v>317</v>
      </c>
      <c r="L165" t="str">
        <f t="shared" si="8"/>
        <v>Mensal</v>
      </c>
    </row>
    <row r="166" spans="1:12" ht="18" customHeight="1" x14ac:dyDescent="0.25">
      <c r="A166" s="2">
        <v>165</v>
      </c>
      <c r="B166" s="3" t="s">
        <v>189</v>
      </c>
      <c r="C166" s="2" t="s">
        <v>46</v>
      </c>
      <c r="D166" s="2" t="s">
        <v>12</v>
      </c>
      <c r="E166" s="2" t="s">
        <v>9</v>
      </c>
      <c r="F166" s="66" t="s">
        <v>12</v>
      </c>
      <c r="G166" t="str">
        <f t="shared" si="6"/>
        <v>Mensal</v>
      </c>
      <c r="H166" t="str">
        <f t="shared" si="7"/>
        <v>IGUAL</v>
      </c>
      <c r="J166" s="36" t="s">
        <v>193</v>
      </c>
      <c r="K166" s="15" t="s">
        <v>317</v>
      </c>
      <c r="L166" t="str">
        <f t="shared" si="8"/>
        <v>Mensal</v>
      </c>
    </row>
    <row r="167" spans="1:12" ht="18" customHeight="1" x14ac:dyDescent="0.25">
      <c r="A167" s="4">
        <v>166</v>
      </c>
      <c r="B167" s="5" t="s">
        <v>190</v>
      </c>
      <c r="C167" s="4" t="s">
        <v>11</v>
      </c>
      <c r="D167" s="4" t="s">
        <v>8</v>
      </c>
      <c r="E167" s="4" t="s">
        <v>9</v>
      </c>
      <c r="F167" s="66" t="s">
        <v>8</v>
      </c>
      <c r="G167" t="str">
        <f t="shared" si="6"/>
        <v>Trimestral</v>
      </c>
      <c r="H167" t="str">
        <f t="shared" si="7"/>
        <v>IGUAL</v>
      </c>
      <c r="J167" s="36" t="s">
        <v>194</v>
      </c>
      <c r="K167" s="15" t="s">
        <v>317</v>
      </c>
      <c r="L167" t="str">
        <f t="shared" si="8"/>
        <v>Mensal</v>
      </c>
    </row>
    <row r="168" spans="1:12" ht="18" customHeight="1" x14ac:dyDescent="0.25">
      <c r="A168" s="2">
        <v>167</v>
      </c>
      <c r="B168" s="3" t="s">
        <v>191</v>
      </c>
      <c r="C168" s="2" t="s">
        <v>23</v>
      </c>
      <c r="D168" s="2" t="s">
        <v>12</v>
      </c>
      <c r="E168" s="2" t="s">
        <v>9</v>
      </c>
      <c r="F168" s="66" t="s">
        <v>12</v>
      </c>
      <c r="G168" t="str">
        <f t="shared" si="6"/>
        <v>Mensal</v>
      </c>
      <c r="H168" t="str">
        <f t="shared" si="7"/>
        <v>IGUAL</v>
      </c>
      <c r="J168" s="3" t="s">
        <v>195</v>
      </c>
      <c r="K168" s="20" t="s">
        <v>317</v>
      </c>
      <c r="L168" t="str">
        <f t="shared" si="8"/>
        <v>Mensal</v>
      </c>
    </row>
    <row r="169" spans="1:12" ht="18" customHeight="1" x14ac:dyDescent="0.25">
      <c r="A169" s="4">
        <v>168</v>
      </c>
      <c r="B169" s="5" t="s">
        <v>192</v>
      </c>
      <c r="C169" s="4" t="s">
        <v>23</v>
      </c>
      <c r="D169" s="4" t="s">
        <v>12</v>
      </c>
      <c r="E169" s="4" t="s">
        <v>9</v>
      </c>
      <c r="F169" s="66" t="s">
        <v>12</v>
      </c>
      <c r="G169" t="str">
        <f t="shared" si="6"/>
        <v>Mensal</v>
      </c>
      <c r="H169" t="str">
        <f t="shared" si="7"/>
        <v>IGUAL</v>
      </c>
      <c r="J169" s="5" t="s">
        <v>196</v>
      </c>
      <c r="K169" s="20" t="s">
        <v>316</v>
      </c>
      <c r="L169" t="str">
        <f t="shared" si="8"/>
        <v>Anual</v>
      </c>
    </row>
    <row r="170" spans="1:12" ht="18" customHeight="1" x14ac:dyDescent="0.25">
      <c r="A170" s="2">
        <v>169</v>
      </c>
      <c r="B170" s="3" t="s">
        <v>193</v>
      </c>
      <c r="C170" s="2" t="s">
        <v>11</v>
      </c>
      <c r="D170" s="2" t="s">
        <v>12</v>
      </c>
      <c r="E170" s="2" t="s">
        <v>9</v>
      </c>
      <c r="F170" s="66" t="s">
        <v>12</v>
      </c>
      <c r="G170" t="str">
        <f t="shared" si="6"/>
        <v>Mensal</v>
      </c>
      <c r="H170" t="str">
        <f t="shared" si="7"/>
        <v>IGUAL</v>
      </c>
      <c r="J170" s="3" t="s">
        <v>197</v>
      </c>
      <c r="K170" s="16" t="s">
        <v>317</v>
      </c>
      <c r="L170" t="str">
        <f t="shared" si="8"/>
        <v>Mensal</v>
      </c>
    </row>
    <row r="171" spans="1:12" ht="18" customHeight="1" x14ac:dyDescent="0.25">
      <c r="A171" s="4">
        <v>170</v>
      </c>
      <c r="B171" s="5" t="s">
        <v>194</v>
      </c>
      <c r="C171" s="4" t="s">
        <v>46</v>
      </c>
      <c r="D171" s="4" t="s">
        <v>12</v>
      </c>
      <c r="E171" s="4" t="s">
        <v>9</v>
      </c>
      <c r="F171" s="66" t="s">
        <v>12</v>
      </c>
      <c r="G171" t="str">
        <f t="shared" si="6"/>
        <v>Mensal</v>
      </c>
      <c r="H171" t="str">
        <f t="shared" si="7"/>
        <v>IGUAL</v>
      </c>
      <c r="J171" s="5" t="s">
        <v>198</v>
      </c>
      <c r="K171" s="15" t="s">
        <v>317</v>
      </c>
      <c r="L171" t="str">
        <f t="shared" si="8"/>
        <v>Mensal</v>
      </c>
    </row>
    <row r="172" spans="1:12" ht="18" customHeight="1" x14ac:dyDescent="0.25">
      <c r="A172" s="2">
        <v>171</v>
      </c>
      <c r="B172" s="3" t="s">
        <v>195</v>
      </c>
      <c r="C172" s="2" t="s">
        <v>52</v>
      </c>
      <c r="D172" s="2" t="s">
        <v>12</v>
      </c>
      <c r="E172" s="2" t="s">
        <v>9</v>
      </c>
      <c r="F172" s="66" t="s">
        <v>12</v>
      </c>
      <c r="G172" t="str">
        <f t="shared" si="6"/>
        <v>Mensal</v>
      </c>
      <c r="H172" t="str">
        <f t="shared" si="7"/>
        <v>IGUAL</v>
      </c>
      <c r="J172" s="3" t="s">
        <v>199</v>
      </c>
      <c r="K172" s="20" t="s">
        <v>319</v>
      </c>
      <c r="L172" t="str">
        <f t="shared" si="8"/>
        <v>Trimestral</v>
      </c>
    </row>
    <row r="173" spans="1:12" ht="18" customHeight="1" x14ac:dyDescent="0.25">
      <c r="A173" s="4">
        <v>172</v>
      </c>
      <c r="B173" s="5" t="s">
        <v>196</v>
      </c>
      <c r="C173" s="4" t="s">
        <v>23</v>
      </c>
      <c r="D173" s="4" t="s">
        <v>26</v>
      </c>
      <c r="E173" s="4" t="s">
        <v>9</v>
      </c>
      <c r="F173" s="66" t="s">
        <v>26</v>
      </c>
      <c r="G173" t="str">
        <f t="shared" si="6"/>
        <v>Anual</v>
      </c>
      <c r="H173" t="str">
        <f t="shared" si="7"/>
        <v>IGUAL</v>
      </c>
      <c r="J173" s="5" t="s">
        <v>200</v>
      </c>
      <c r="K173" s="15" t="s">
        <v>317</v>
      </c>
      <c r="L173" t="str">
        <f t="shared" si="8"/>
        <v>Mensal</v>
      </c>
    </row>
    <row r="174" spans="1:12" ht="18" customHeight="1" x14ac:dyDescent="0.25">
      <c r="A174" s="2">
        <v>173</v>
      </c>
      <c r="B174" s="3" t="s">
        <v>197</v>
      </c>
      <c r="C174" s="2" t="s">
        <v>46</v>
      </c>
      <c r="D174" s="2" t="s">
        <v>12</v>
      </c>
      <c r="E174" s="2" t="s">
        <v>9</v>
      </c>
      <c r="F174" s="66" t="s">
        <v>12</v>
      </c>
      <c r="G174" t="str">
        <f t="shared" si="6"/>
        <v>Mensal</v>
      </c>
      <c r="H174" t="str">
        <f t="shared" si="7"/>
        <v>IGUAL</v>
      </c>
      <c r="J174" s="45" t="s">
        <v>202</v>
      </c>
      <c r="K174" s="17" t="s">
        <v>319</v>
      </c>
      <c r="L174" t="str">
        <f t="shared" si="8"/>
        <v>Trimestral</v>
      </c>
    </row>
    <row r="175" spans="1:12" ht="18" customHeight="1" x14ac:dyDescent="0.25">
      <c r="A175" s="4">
        <v>174</v>
      </c>
      <c r="B175" s="5" t="s">
        <v>198</v>
      </c>
      <c r="C175" s="4" t="s">
        <v>11</v>
      </c>
      <c r="D175" s="4" t="s">
        <v>12</v>
      </c>
      <c r="E175" s="4" t="s">
        <v>9</v>
      </c>
      <c r="F175" s="66" t="s">
        <v>12</v>
      </c>
      <c r="G175" t="str">
        <f t="shared" si="6"/>
        <v>Mensal</v>
      </c>
      <c r="H175" t="str">
        <f t="shared" si="7"/>
        <v>IGUAL</v>
      </c>
      <c r="J175" s="5" t="s">
        <v>204</v>
      </c>
      <c r="K175" s="15" t="s">
        <v>317</v>
      </c>
      <c r="L175" t="str">
        <f t="shared" si="8"/>
        <v>Mensal</v>
      </c>
    </row>
    <row r="176" spans="1:12" ht="18" customHeight="1" x14ac:dyDescent="0.25">
      <c r="A176" s="2">
        <v>175</v>
      </c>
      <c r="B176" s="3" t="s">
        <v>199</v>
      </c>
      <c r="C176" s="2" t="s">
        <v>11</v>
      </c>
      <c r="D176" s="2" t="s">
        <v>8</v>
      </c>
      <c r="E176" s="2" t="s">
        <v>9</v>
      </c>
      <c r="F176" s="66" t="s">
        <v>8</v>
      </c>
      <c r="G176" t="str">
        <f t="shared" si="6"/>
        <v>Trimestral</v>
      </c>
      <c r="H176" t="str">
        <f t="shared" si="7"/>
        <v>IGUAL</v>
      </c>
      <c r="J176" s="3" t="s">
        <v>205</v>
      </c>
      <c r="K176" s="20" t="s">
        <v>319</v>
      </c>
      <c r="L176" t="str">
        <f t="shared" si="8"/>
        <v>Trimestral</v>
      </c>
    </row>
    <row r="177" spans="1:12" ht="18" customHeight="1" x14ac:dyDescent="0.25">
      <c r="A177" s="4">
        <v>176</v>
      </c>
      <c r="B177" s="5" t="s">
        <v>200</v>
      </c>
      <c r="C177" s="4" t="s">
        <v>11</v>
      </c>
      <c r="D177" s="4" t="s">
        <v>12</v>
      </c>
      <c r="E177" s="4" t="s">
        <v>9</v>
      </c>
      <c r="F177" s="66" t="s">
        <v>12</v>
      </c>
      <c r="G177" t="str">
        <f t="shared" si="6"/>
        <v>Mensal</v>
      </c>
      <c r="H177" t="str">
        <f t="shared" si="7"/>
        <v>IGUAL</v>
      </c>
      <c r="J177" s="58" t="s">
        <v>206</v>
      </c>
      <c r="K177" s="30" t="s">
        <v>317</v>
      </c>
      <c r="L177" t="str">
        <f t="shared" si="8"/>
        <v>Mensal</v>
      </c>
    </row>
    <row r="178" spans="1:12" ht="18" customHeight="1" x14ac:dyDescent="0.25">
      <c r="A178" s="2">
        <v>177</v>
      </c>
      <c r="B178" s="3" t="s">
        <v>201</v>
      </c>
      <c r="C178" s="2" t="s">
        <v>19</v>
      </c>
      <c r="D178" s="2" t="s">
        <v>12</v>
      </c>
      <c r="E178" s="2" t="s">
        <v>9</v>
      </c>
      <c r="F178" s="66" t="e">
        <v>#N/A</v>
      </c>
      <c r="G178" t="e">
        <f t="shared" si="6"/>
        <v>#N/A</v>
      </c>
      <c r="H178" t="e">
        <f t="shared" si="7"/>
        <v>#N/A</v>
      </c>
      <c r="J178" s="49" t="s">
        <v>207</v>
      </c>
      <c r="K178" s="16" t="s">
        <v>317</v>
      </c>
      <c r="L178" t="str">
        <f t="shared" si="8"/>
        <v>Mensal</v>
      </c>
    </row>
    <row r="179" spans="1:12" ht="18" customHeight="1" x14ac:dyDescent="0.25">
      <c r="A179" s="4">
        <v>178</v>
      </c>
      <c r="B179" s="5" t="s">
        <v>202</v>
      </c>
      <c r="C179" s="4" t="s">
        <v>11</v>
      </c>
      <c r="D179" s="4" t="s">
        <v>8</v>
      </c>
      <c r="E179" s="4" t="s">
        <v>9</v>
      </c>
      <c r="F179" s="66" t="s">
        <v>8</v>
      </c>
      <c r="G179" t="str">
        <f t="shared" si="6"/>
        <v>Trimestral</v>
      </c>
      <c r="H179" t="str">
        <f t="shared" si="7"/>
        <v>IGUAL</v>
      </c>
      <c r="J179" s="36" t="s">
        <v>328</v>
      </c>
      <c r="K179" s="15" t="s">
        <v>317</v>
      </c>
      <c r="L179" t="str">
        <f t="shared" si="8"/>
        <v>Mensal</v>
      </c>
    </row>
    <row r="180" spans="1:12" ht="18" customHeight="1" x14ac:dyDescent="0.25">
      <c r="A180" s="2">
        <v>179</v>
      </c>
      <c r="B180" s="3" t="s">
        <v>203</v>
      </c>
      <c r="C180" s="2" t="s">
        <v>46</v>
      </c>
      <c r="D180" s="2" t="s">
        <v>26</v>
      </c>
      <c r="E180" s="2" t="s">
        <v>9</v>
      </c>
      <c r="F180" s="66" t="e">
        <v>#N/A</v>
      </c>
      <c r="G180" t="e">
        <f t="shared" si="6"/>
        <v>#N/A</v>
      </c>
      <c r="H180" t="e">
        <f t="shared" si="7"/>
        <v>#N/A</v>
      </c>
      <c r="J180" s="37" t="s">
        <v>330</v>
      </c>
      <c r="K180" s="16" t="s">
        <v>317</v>
      </c>
      <c r="L180" t="str">
        <f t="shared" si="8"/>
        <v>Mensal</v>
      </c>
    </row>
    <row r="181" spans="1:12" ht="18" customHeight="1" x14ac:dyDescent="0.25">
      <c r="A181" s="4">
        <v>180</v>
      </c>
      <c r="B181" s="5" t="s">
        <v>204</v>
      </c>
      <c r="C181" s="4" t="s">
        <v>46</v>
      </c>
      <c r="D181" s="4" t="s">
        <v>12</v>
      </c>
      <c r="E181" s="4" t="s">
        <v>9</v>
      </c>
      <c r="F181" s="66" t="s">
        <v>12</v>
      </c>
      <c r="G181" t="str">
        <f t="shared" si="6"/>
        <v>Mensal</v>
      </c>
      <c r="H181" t="str">
        <f t="shared" si="7"/>
        <v>IGUAL</v>
      </c>
      <c r="J181" s="42" t="s">
        <v>209</v>
      </c>
      <c r="K181" s="20" t="s">
        <v>316</v>
      </c>
      <c r="L181" t="str">
        <f t="shared" si="8"/>
        <v>Anual</v>
      </c>
    </row>
    <row r="182" spans="1:12" ht="18" customHeight="1" x14ac:dyDescent="0.25">
      <c r="A182" s="2">
        <v>181</v>
      </c>
      <c r="B182" s="3" t="s">
        <v>205</v>
      </c>
      <c r="C182" s="2" t="s">
        <v>11</v>
      </c>
      <c r="D182" s="2" t="s">
        <v>8</v>
      </c>
      <c r="E182" s="2" t="s">
        <v>9</v>
      </c>
      <c r="F182" s="66" t="s">
        <v>8</v>
      </c>
      <c r="G182" t="str">
        <f t="shared" si="6"/>
        <v>Trimestral</v>
      </c>
      <c r="H182" t="str">
        <f t="shared" si="7"/>
        <v>IGUAL</v>
      </c>
      <c r="J182" s="50" t="s">
        <v>210</v>
      </c>
      <c r="K182" s="15" t="s">
        <v>317</v>
      </c>
      <c r="L182" t="str">
        <f t="shared" si="8"/>
        <v>Mensal</v>
      </c>
    </row>
    <row r="183" spans="1:12" ht="18" customHeight="1" x14ac:dyDescent="0.25">
      <c r="A183" s="4">
        <v>182</v>
      </c>
      <c r="B183" s="5" t="s">
        <v>206</v>
      </c>
      <c r="C183" s="4" t="s">
        <v>19</v>
      </c>
      <c r="D183" s="4" t="s">
        <v>12</v>
      </c>
      <c r="E183" s="4" t="s">
        <v>9</v>
      </c>
      <c r="F183" s="66" t="s">
        <v>12</v>
      </c>
      <c r="G183" t="str">
        <f t="shared" si="6"/>
        <v>Mensal</v>
      </c>
      <c r="H183" t="str">
        <f t="shared" si="7"/>
        <v>IGUAL</v>
      </c>
      <c r="J183" s="3" t="s">
        <v>211</v>
      </c>
      <c r="K183" s="16" t="s">
        <v>316</v>
      </c>
      <c r="L183" t="str">
        <f t="shared" si="8"/>
        <v>Anual</v>
      </c>
    </row>
    <row r="184" spans="1:12" ht="18" customHeight="1" x14ac:dyDescent="0.25">
      <c r="A184" s="2">
        <v>183</v>
      </c>
      <c r="B184" s="3" t="s">
        <v>207</v>
      </c>
      <c r="C184" s="2" t="s">
        <v>21</v>
      </c>
      <c r="D184" s="2" t="s">
        <v>12</v>
      </c>
      <c r="E184" s="2" t="s">
        <v>9</v>
      </c>
      <c r="F184" s="66" t="s">
        <v>12</v>
      </c>
      <c r="G184" t="str">
        <f t="shared" si="6"/>
        <v>Mensal</v>
      </c>
      <c r="H184" t="str">
        <f t="shared" si="7"/>
        <v>IGUAL</v>
      </c>
      <c r="J184" s="5" t="s">
        <v>212</v>
      </c>
      <c r="K184" s="16" t="s">
        <v>317</v>
      </c>
      <c r="L184" t="str">
        <f t="shared" si="8"/>
        <v>Mensal</v>
      </c>
    </row>
    <row r="185" spans="1:12" ht="18" customHeight="1" x14ac:dyDescent="0.25">
      <c r="A185" s="4">
        <v>184</v>
      </c>
      <c r="B185" s="5" t="s">
        <v>208</v>
      </c>
      <c r="C185" s="4" t="s">
        <v>19</v>
      </c>
      <c r="D185" s="4" t="s">
        <v>12</v>
      </c>
      <c r="E185" s="4" t="s">
        <v>9</v>
      </c>
      <c r="F185" s="66" t="e">
        <v>#N/A</v>
      </c>
      <c r="G185" t="e">
        <f t="shared" si="6"/>
        <v>#N/A</v>
      </c>
      <c r="H185" t="e">
        <f t="shared" si="7"/>
        <v>#N/A</v>
      </c>
      <c r="J185" s="47" t="s">
        <v>213</v>
      </c>
      <c r="K185" s="20" t="s">
        <v>319</v>
      </c>
      <c r="L185" t="str">
        <f t="shared" si="8"/>
        <v>Trimestral</v>
      </c>
    </row>
    <row r="186" spans="1:12" ht="18" customHeight="1" x14ac:dyDescent="0.25">
      <c r="A186" s="2">
        <v>185</v>
      </c>
      <c r="B186" s="3" t="s">
        <v>209</v>
      </c>
      <c r="C186" s="2" t="s">
        <v>11</v>
      </c>
      <c r="D186" s="2" t="s">
        <v>26</v>
      </c>
      <c r="E186" s="2" t="s">
        <v>9</v>
      </c>
      <c r="F186" s="66" t="s">
        <v>26</v>
      </c>
      <c r="G186" t="str">
        <f t="shared" si="6"/>
        <v>Anual</v>
      </c>
      <c r="H186" t="str">
        <f t="shared" si="7"/>
        <v>IGUAL</v>
      </c>
      <c r="J186" s="5" t="s">
        <v>214</v>
      </c>
      <c r="K186" s="15" t="s">
        <v>317</v>
      </c>
      <c r="L186" t="str">
        <f t="shared" si="8"/>
        <v>Mensal</v>
      </c>
    </row>
    <row r="187" spans="1:12" ht="18" customHeight="1" x14ac:dyDescent="0.25">
      <c r="A187" s="6">
        <v>186</v>
      </c>
      <c r="B187" s="7" t="s">
        <v>210</v>
      </c>
      <c r="C187" s="6" t="s">
        <v>11</v>
      </c>
      <c r="D187" s="6" t="s">
        <v>16</v>
      </c>
      <c r="E187" s="6" t="s">
        <v>17</v>
      </c>
      <c r="F187" s="66" t="s">
        <v>12</v>
      </c>
      <c r="G187" t="str">
        <f t="shared" si="6"/>
        <v>Mensal</v>
      </c>
      <c r="H187" t="str">
        <f t="shared" si="7"/>
        <v>DIFERENTE</v>
      </c>
      <c r="J187" s="3" t="s">
        <v>215</v>
      </c>
      <c r="K187" s="15" t="s">
        <v>317</v>
      </c>
      <c r="L187" t="str">
        <f t="shared" si="8"/>
        <v>Mensal</v>
      </c>
    </row>
    <row r="188" spans="1:12" ht="18" customHeight="1" x14ac:dyDescent="0.25">
      <c r="A188" s="2">
        <v>187</v>
      </c>
      <c r="B188" s="3" t="s">
        <v>211</v>
      </c>
      <c r="C188" s="2" t="s">
        <v>11</v>
      </c>
      <c r="D188" s="2" t="s">
        <v>26</v>
      </c>
      <c r="E188" s="2" t="s">
        <v>9</v>
      </c>
      <c r="F188" s="66" t="s">
        <v>26</v>
      </c>
      <c r="G188" t="str">
        <f t="shared" si="6"/>
        <v>Anual</v>
      </c>
      <c r="H188" t="str">
        <f t="shared" si="7"/>
        <v>IGUAL</v>
      </c>
      <c r="J188" s="41" t="s">
        <v>216</v>
      </c>
      <c r="K188" s="19" t="s">
        <v>317</v>
      </c>
      <c r="L188" t="str">
        <f t="shared" si="8"/>
        <v>Mensal</v>
      </c>
    </row>
    <row r="189" spans="1:12" ht="18" customHeight="1" x14ac:dyDescent="0.25">
      <c r="A189" s="4">
        <v>188</v>
      </c>
      <c r="B189" s="5" t="s">
        <v>212</v>
      </c>
      <c r="C189" s="4" t="s">
        <v>11</v>
      </c>
      <c r="D189" s="4" t="s">
        <v>12</v>
      </c>
      <c r="E189" s="4" t="s">
        <v>9</v>
      </c>
      <c r="F189" s="66" t="s">
        <v>12</v>
      </c>
      <c r="G189" t="str">
        <f t="shared" si="6"/>
        <v>Mensal</v>
      </c>
      <c r="H189" t="str">
        <f t="shared" si="7"/>
        <v>IGUAL</v>
      </c>
      <c r="J189" s="40" t="s">
        <v>217</v>
      </c>
      <c r="K189" s="18" t="s">
        <v>318</v>
      </c>
      <c r="L189" t="str">
        <f t="shared" si="8"/>
        <v>Anual</v>
      </c>
    </row>
    <row r="190" spans="1:12" ht="18" customHeight="1" x14ac:dyDescent="0.25">
      <c r="A190" s="2">
        <v>189</v>
      </c>
      <c r="B190" s="3" t="s">
        <v>213</v>
      </c>
      <c r="C190" s="2" t="s">
        <v>11</v>
      </c>
      <c r="D190" s="2" t="s">
        <v>8</v>
      </c>
      <c r="E190" s="2" t="s">
        <v>9</v>
      </c>
      <c r="F190" s="66" t="s">
        <v>8</v>
      </c>
      <c r="G190" t="str">
        <f t="shared" si="6"/>
        <v>Trimestral</v>
      </c>
      <c r="H190" t="str">
        <f t="shared" si="7"/>
        <v>IGUAL</v>
      </c>
      <c r="J190" s="54" t="s">
        <v>218</v>
      </c>
      <c r="K190" s="18" t="s">
        <v>317</v>
      </c>
      <c r="L190" t="str">
        <f t="shared" si="8"/>
        <v>Mensal</v>
      </c>
    </row>
    <row r="191" spans="1:12" ht="18" customHeight="1" x14ac:dyDescent="0.25">
      <c r="A191" s="4">
        <v>190</v>
      </c>
      <c r="B191" s="5" t="s">
        <v>214</v>
      </c>
      <c r="C191" s="4" t="s">
        <v>23</v>
      </c>
      <c r="D191" s="4" t="s">
        <v>12</v>
      </c>
      <c r="E191" s="4" t="s">
        <v>9</v>
      </c>
      <c r="F191" s="66" t="s">
        <v>12</v>
      </c>
      <c r="G191" t="str">
        <f t="shared" si="6"/>
        <v>Mensal</v>
      </c>
      <c r="H191" t="str">
        <f t="shared" si="7"/>
        <v>IGUAL</v>
      </c>
      <c r="J191" s="5" t="s">
        <v>220</v>
      </c>
      <c r="K191" s="20" t="s">
        <v>316</v>
      </c>
      <c r="L191" t="str">
        <f t="shared" si="8"/>
        <v>Anual</v>
      </c>
    </row>
    <row r="192" spans="1:12" ht="18" customHeight="1" x14ac:dyDescent="0.25">
      <c r="A192" s="2">
        <v>191</v>
      </c>
      <c r="B192" s="3" t="s">
        <v>215</v>
      </c>
      <c r="C192" s="2" t="s">
        <v>15</v>
      </c>
      <c r="D192" s="2" t="s">
        <v>12</v>
      </c>
      <c r="E192" s="2" t="s">
        <v>9</v>
      </c>
      <c r="F192" s="66" t="s">
        <v>12</v>
      </c>
      <c r="G192" t="str">
        <f t="shared" si="6"/>
        <v>Mensal</v>
      </c>
      <c r="H192" t="str">
        <f t="shared" si="7"/>
        <v>IGUAL</v>
      </c>
      <c r="J192" s="47" t="s">
        <v>221</v>
      </c>
      <c r="K192" s="20" t="s">
        <v>321</v>
      </c>
      <c r="L192" t="str">
        <f t="shared" si="8"/>
        <v>Anual</v>
      </c>
    </row>
    <row r="193" spans="1:12" ht="18" customHeight="1" x14ac:dyDescent="0.25">
      <c r="A193" s="4">
        <v>192</v>
      </c>
      <c r="B193" s="5" t="s">
        <v>216</v>
      </c>
      <c r="C193" s="4" t="s">
        <v>11</v>
      </c>
      <c r="D193" s="4" t="s">
        <v>12</v>
      </c>
      <c r="E193" s="4" t="s">
        <v>9</v>
      </c>
      <c r="F193" s="66" t="s">
        <v>12</v>
      </c>
      <c r="G193" t="str">
        <f t="shared" si="6"/>
        <v>Mensal</v>
      </c>
      <c r="H193" t="str">
        <f t="shared" si="7"/>
        <v>IGUAL</v>
      </c>
      <c r="J193" s="5" t="s">
        <v>222</v>
      </c>
      <c r="K193" s="31"/>
      <c r="L193" t="e">
        <f t="shared" si="8"/>
        <v>#N/A</v>
      </c>
    </row>
    <row r="194" spans="1:12" ht="18" customHeight="1" x14ac:dyDescent="0.25">
      <c r="A194" s="2">
        <v>193</v>
      </c>
      <c r="B194" s="3" t="s">
        <v>217</v>
      </c>
      <c r="C194" s="2" t="s">
        <v>46</v>
      </c>
      <c r="D194" s="2" t="s">
        <v>26</v>
      </c>
      <c r="E194" s="2" t="s">
        <v>9</v>
      </c>
      <c r="F194" s="66" t="s">
        <v>26</v>
      </c>
      <c r="G194" t="str">
        <f t="shared" si="6"/>
        <v>Anual</v>
      </c>
      <c r="H194" t="str">
        <f t="shared" si="7"/>
        <v>IGUAL</v>
      </c>
      <c r="J194" s="45" t="s">
        <v>223</v>
      </c>
      <c r="K194" s="17" t="s">
        <v>315</v>
      </c>
      <c r="L194" t="str">
        <f t="shared" si="8"/>
        <v>Semestral</v>
      </c>
    </row>
    <row r="195" spans="1:12" ht="18" customHeight="1" x14ac:dyDescent="0.25">
      <c r="A195" s="6">
        <v>194</v>
      </c>
      <c r="B195" s="7" t="s">
        <v>218</v>
      </c>
      <c r="C195" s="6" t="s">
        <v>46</v>
      </c>
      <c r="D195" s="6" t="s">
        <v>16</v>
      </c>
      <c r="E195" s="6" t="s">
        <v>17</v>
      </c>
      <c r="F195" s="66" t="s">
        <v>12</v>
      </c>
      <c r="G195" t="str">
        <f t="shared" ref="G195:G258" si="9">VLOOKUP(B195,$J$2:$L$276,3,FALSE)</f>
        <v>Mensal</v>
      </c>
      <c r="H195" t="str">
        <f t="shared" ref="H195:H258" si="10">IF(D195=G195,"IGUAL","DIFERENTE")</f>
        <v>DIFERENTE</v>
      </c>
      <c r="J195" s="42" t="s">
        <v>224</v>
      </c>
      <c r="K195" s="20" t="s">
        <v>317</v>
      </c>
      <c r="L195" t="str">
        <f t="shared" si="8"/>
        <v>Mensal</v>
      </c>
    </row>
    <row r="196" spans="1:12" ht="18" customHeight="1" x14ac:dyDescent="0.25">
      <c r="A196" s="2">
        <v>195</v>
      </c>
      <c r="B196" s="3" t="s">
        <v>219</v>
      </c>
      <c r="C196" s="2" t="s">
        <v>23</v>
      </c>
      <c r="D196" s="2" t="s">
        <v>8</v>
      </c>
      <c r="E196" s="2" t="s">
        <v>9</v>
      </c>
      <c r="F196" s="66" t="e">
        <v>#N/A</v>
      </c>
      <c r="G196" t="e">
        <f t="shared" si="9"/>
        <v>#N/A</v>
      </c>
      <c r="H196" t="e">
        <f t="shared" si="10"/>
        <v>#N/A</v>
      </c>
      <c r="J196" s="50" t="s">
        <v>225</v>
      </c>
      <c r="K196" s="15" t="s">
        <v>317</v>
      </c>
      <c r="L196" t="str">
        <f t="shared" ref="L196:L259" si="11">VLOOKUP(K196,$O$3:$P$11,2,FALSE)</f>
        <v>Mensal</v>
      </c>
    </row>
    <row r="197" spans="1:12" ht="18" customHeight="1" x14ac:dyDescent="0.25">
      <c r="A197" s="4">
        <v>196</v>
      </c>
      <c r="B197" s="5" t="s">
        <v>220</v>
      </c>
      <c r="C197" s="4" t="s">
        <v>23</v>
      </c>
      <c r="D197" s="4" t="s">
        <v>30</v>
      </c>
      <c r="E197" s="4" t="s">
        <v>9</v>
      </c>
      <c r="F197" s="66" t="s">
        <v>26</v>
      </c>
      <c r="G197" t="str">
        <f t="shared" si="9"/>
        <v>Anual</v>
      </c>
      <c r="H197" t="str">
        <f t="shared" si="10"/>
        <v>DIFERENTE</v>
      </c>
      <c r="J197" s="37" t="s">
        <v>333</v>
      </c>
      <c r="K197" s="16" t="s">
        <v>317</v>
      </c>
      <c r="L197" t="str">
        <f t="shared" si="11"/>
        <v>Mensal</v>
      </c>
    </row>
    <row r="198" spans="1:12" ht="18" customHeight="1" x14ac:dyDescent="0.25">
      <c r="A198" s="2">
        <v>197</v>
      </c>
      <c r="B198" s="3" t="s">
        <v>221</v>
      </c>
      <c r="C198" s="2" t="s">
        <v>23</v>
      </c>
      <c r="D198" s="2" t="s">
        <v>26</v>
      </c>
      <c r="E198" s="2" t="s">
        <v>9</v>
      </c>
      <c r="F198" s="66" t="s">
        <v>26</v>
      </c>
      <c r="G198" t="str">
        <f t="shared" si="9"/>
        <v>Anual</v>
      </c>
      <c r="H198" t="str">
        <f t="shared" si="10"/>
        <v>IGUAL</v>
      </c>
      <c r="J198" s="57" t="s">
        <v>226</v>
      </c>
      <c r="K198" s="18" t="s">
        <v>317</v>
      </c>
      <c r="L198" t="str">
        <f t="shared" si="11"/>
        <v>Mensal</v>
      </c>
    </row>
    <row r="199" spans="1:12" ht="18" customHeight="1" x14ac:dyDescent="0.25">
      <c r="A199" s="4">
        <v>198</v>
      </c>
      <c r="B199" s="5" t="s">
        <v>222</v>
      </c>
      <c r="C199" s="4" t="s">
        <v>7</v>
      </c>
      <c r="D199" s="4" t="s">
        <v>8</v>
      </c>
      <c r="E199" s="4" t="s">
        <v>9</v>
      </c>
      <c r="F199" s="66" t="e">
        <v>#N/A</v>
      </c>
      <c r="G199" t="e">
        <f>VLOOKUP(B199,$J$2:$L$276,3,FALSE)</f>
        <v>#N/A</v>
      </c>
      <c r="H199" t="e">
        <f t="shared" si="10"/>
        <v>#N/A</v>
      </c>
      <c r="J199" s="3" t="s">
        <v>227</v>
      </c>
      <c r="K199" s="31" t="s">
        <v>317</v>
      </c>
      <c r="L199" t="str">
        <f t="shared" si="11"/>
        <v>Mensal</v>
      </c>
    </row>
    <row r="200" spans="1:12" ht="18" customHeight="1" x14ac:dyDescent="0.25">
      <c r="A200" s="2">
        <v>199</v>
      </c>
      <c r="B200" s="3" t="s">
        <v>223</v>
      </c>
      <c r="C200" s="2" t="s">
        <v>15</v>
      </c>
      <c r="D200" s="2" t="s">
        <v>30</v>
      </c>
      <c r="E200" s="2" t="s">
        <v>9</v>
      </c>
      <c r="F200" s="66" t="s">
        <v>30</v>
      </c>
      <c r="G200" t="str">
        <f t="shared" si="9"/>
        <v>Semestral</v>
      </c>
      <c r="H200" t="str">
        <f t="shared" si="10"/>
        <v>IGUAL</v>
      </c>
      <c r="J200" s="58" t="s">
        <v>228</v>
      </c>
      <c r="K200" s="30" t="s">
        <v>317</v>
      </c>
      <c r="L200" t="str">
        <f t="shared" si="11"/>
        <v>Mensal</v>
      </c>
    </row>
    <row r="201" spans="1:12" ht="18" customHeight="1" x14ac:dyDescent="0.25">
      <c r="A201" s="4">
        <v>200</v>
      </c>
      <c r="B201" s="5" t="s">
        <v>224</v>
      </c>
      <c r="C201" s="4" t="s">
        <v>11</v>
      </c>
      <c r="D201" s="4" t="s">
        <v>12</v>
      </c>
      <c r="E201" s="4" t="s">
        <v>9</v>
      </c>
      <c r="F201" s="66" t="s">
        <v>12</v>
      </c>
      <c r="G201" t="str">
        <f t="shared" si="9"/>
        <v>Mensal</v>
      </c>
      <c r="H201" t="str">
        <f t="shared" si="10"/>
        <v>IGUAL</v>
      </c>
      <c r="J201" s="59" t="s">
        <v>229</v>
      </c>
      <c r="K201" s="31" t="s">
        <v>317</v>
      </c>
      <c r="L201" t="str">
        <f t="shared" si="11"/>
        <v>Mensal</v>
      </c>
    </row>
    <row r="202" spans="1:12" ht="18" customHeight="1" x14ac:dyDescent="0.25">
      <c r="A202" s="2">
        <v>201</v>
      </c>
      <c r="B202" s="3" t="s">
        <v>225</v>
      </c>
      <c r="C202" s="2" t="s">
        <v>19</v>
      </c>
      <c r="D202" s="2" t="s">
        <v>12</v>
      </c>
      <c r="E202" s="2" t="s">
        <v>9</v>
      </c>
      <c r="F202" s="66" t="s">
        <v>12</v>
      </c>
      <c r="G202" t="str">
        <f t="shared" si="9"/>
        <v>Mensal</v>
      </c>
      <c r="H202" t="str">
        <f t="shared" si="10"/>
        <v>IGUAL</v>
      </c>
      <c r="J202" s="5" t="s">
        <v>230</v>
      </c>
      <c r="K202" s="20" t="s">
        <v>315</v>
      </c>
      <c r="L202" t="str">
        <f t="shared" si="11"/>
        <v>Semestral</v>
      </c>
    </row>
    <row r="203" spans="1:12" ht="18" customHeight="1" x14ac:dyDescent="0.25">
      <c r="A203" s="4">
        <v>202</v>
      </c>
      <c r="B203" s="5" t="s">
        <v>226</v>
      </c>
      <c r="C203" s="4" t="s">
        <v>11</v>
      </c>
      <c r="D203" s="4" t="s">
        <v>12</v>
      </c>
      <c r="E203" s="4" t="s">
        <v>9</v>
      </c>
      <c r="F203" s="66" t="s">
        <v>12</v>
      </c>
      <c r="G203" t="str">
        <f t="shared" si="9"/>
        <v>Mensal</v>
      </c>
      <c r="H203" t="str">
        <f t="shared" si="10"/>
        <v>IGUAL</v>
      </c>
      <c r="J203" s="45" t="s">
        <v>231</v>
      </c>
      <c r="K203" s="17" t="s">
        <v>316</v>
      </c>
      <c r="L203" t="str">
        <f t="shared" si="11"/>
        <v>Anual</v>
      </c>
    </row>
    <row r="204" spans="1:12" ht="18" customHeight="1" x14ac:dyDescent="0.25">
      <c r="A204" s="2">
        <v>203</v>
      </c>
      <c r="B204" s="3" t="s">
        <v>227</v>
      </c>
      <c r="C204" s="2" t="s">
        <v>46</v>
      </c>
      <c r="D204" s="2" t="s">
        <v>30</v>
      </c>
      <c r="E204" s="2" t="s">
        <v>9</v>
      </c>
      <c r="F204" s="66" t="s">
        <v>12</v>
      </c>
      <c r="G204" t="str">
        <f t="shared" si="9"/>
        <v>Mensal</v>
      </c>
      <c r="H204" t="str">
        <f t="shared" si="10"/>
        <v>DIFERENTE</v>
      </c>
      <c r="J204" s="5" t="s">
        <v>232</v>
      </c>
      <c r="K204" s="31" t="s">
        <v>316</v>
      </c>
      <c r="L204" t="str">
        <f t="shared" si="11"/>
        <v>Anual</v>
      </c>
    </row>
    <row r="205" spans="1:12" ht="18" customHeight="1" x14ac:dyDescent="0.25">
      <c r="A205" s="4">
        <v>204</v>
      </c>
      <c r="B205" s="5" t="s">
        <v>228</v>
      </c>
      <c r="C205" s="4" t="s">
        <v>11</v>
      </c>
      <c r="D205" s="4" t="s">
        <v>12</v>
      </c>
      <c r="E205" s="4" t="s">
        <v>9</v>
      </c>
      <c r="F205" s="66" t="s">
        <v>12</v>
      </c>
      <c r="G205" t="str">
        <f t="shared" si="9"/>
        <v>Mensal</v>
      </c>
      <c r="H205" t="str">
        <f t="shared" si="10"/>
        <v>IGUAL</v>
      </c>
      <c r="J205" s="42" t="s">
        <v>233</v>
      </c>
      <c r="K205" s="20" t="s">
        <v>316</v>
      </c>
      <c r="L205" t="str">
        <f t="shared" si="11"/>
        <v>Anual</v>
      </c>
    </row>
    <row r="206" spans="1:12" ht="18" customHeight="1" x14ac:dyDescent="0.25">
      <c r="A206" s="2">
        <v>205</v>
      </c>
      <c r="B206" s="3" t="s">
        <v>229</v>
      </c>
      <c r="C206" s="2" t="s">
        <v>11</v>
      </c>
      <c r="D206" s="2" t="s">
        <v>12</v>
      </c>
      <c r="E206" s="2" t="s">
        <v>9</v>
      </c>
      <c r="F206" s="66" t="s">
        <v>12</v>
      </c>
      <c r="G206" t="str">
        <f t="shared" si="9"/>
        <v>Mensal</v>
      </c>
      <c r="H206" t="str">
        <f t="shared" si="10"/>
        <v>IGUAL</v>
      </c>
      <c r="J206" s="37" t="s">
        <v>234</v>
      </c>
      <c r="K206" s="16" t="s">
        <v>317</v>
      </c>
      <c r="L206" t="str">
        <f t="shared" si="11"/>
        <v>Mensal</v>
      </c>
    </row>
    <row r="207" spans="1:12" ht="18" customHeight="1" x14ac:dyDescent="0.25">
      <c r="A207" s="4">
        <v>206</v>
      </c>
      <c r="B207" s="5" t="s">
        <v>230</v>
      </c>
      <c r="C207" s="4" t="s">
        <v>11</v>
      </c>
      <c r="D207" s="4" t="s">
        <v>12</v>
      </c>
      <c r="E207" s="4" t="s">
        <v>9</v>
      </c>
      <c r="F207" s="66" t="s">
        <v>30</v>
      </c>
      <c r="G207" t="str">
        <f t="shared" si="9"/>
        <v>Semestral</v>
      </c>
      <c r="H207" t="str">
        <f t="shared" si="10"/>
        <v>DIFERENTE</v>
      </c>
      <c r="J207" s="50" t="s">
        <v>235</v>
      </c>
      <c r="K207" s="15" t="s">
        <v>317</v>
      </c>
      <c r="L207" t="str">
        <f t="shared" si="11"/>
        <v>Mensal</v>
      </c>
    </row>
    <row r="208" spans="1:12" ht="18" customHeight="1" x14ac:dyDescent="0.25">
      <c r="A208" s="2">
        <v>207</v>
      </c>
      <c r="B208" s="3" t="s">
        <v>231</v>
      </c>
      <c r="C208" s="2" t="s">
        <v>7</v>
      </c>
      <c r="D208" s="2" t="s">
        <v>26</v>
      </c>
      <c r="E208" s="2" t="s">
        <v>9</v>
      </c>
      <c r="F208" s="66" t="s">
        <v>26</v>
      </c>
      <c r="G208" t="str">
        <f t="shared" si="9"/>
        <v>Anual</v>
      </c>
      <c r="H208" t="str">
        <f t="shared" si="10"/>
        <v>IGUAL</v>
      </c>
      <c r="J208" s="5" t="s">
        <v>236</v>
      </c>
      <c r="K208" s="17" t="s">
        <v>316</v>
      </c>
      <c r="L208" t="str">
        <f t="shared" si="11"/>
        <v>Anual</v>
      </c>
    </row>
    <row r="209" spans="1:12" ht="18" customHeight="1" x14ac:dyDescent="0.25">
      <c r="A209" s="4">
        <v>208</v>
      </c>
      <c r="B209" s="5" t="s">
        <v>232</v>
      </c>
      <c r="C209" s="4" t="s">
        <v>15</v>
      </c>
      <c r="D209" s="4" t="s">
        <v>12</v>
      </c>
      <c r="E209" s="4" t="s">
        <v>9</v>
      </c>
      <c r="F209" s="66" t="s">
        <v>26</v>
      </c>
      <c r="G209" t="str">
        <f t="shared" si="9"/>
        <v>Anual</v>
      </c>
      <c r="H209" t="str">
        <f t="shared" si="10"/>
        <v>DIFERENTE</v>
      </c>
      <c r="J209" s="47" t="s">
        <v>237</v>
      </c>
      <c r="K209" s="20" t="s">
        <v>315</v>
      </c>
      <c r="L209" t="str">
        <f t="shared" si="11"/>
        <v>Semestral</v>
      </c>
    </row>
    <row r="210" spans="1:12" ht="18" customHeight="1" x14ac:dyDescent="0.25">
      <c r="A210" s="2">
        <v>209</v>
      </c>
      <c r="B210" s="3" t="s">
        <v>233</v>
      </c>
      <c r="C210" s="2" t="s">
        <v>23</v>
      </c>
      <c r="D210" s="2" t="s">
        <v>26</v>
      </c>
      <c r="E210" s="2" t="s">
        <v>9</v>
      </c>
      <c r="F210" s="66" t="s">
        <v>26</v>
      </c>
      <c r="G210" t="str">
        <f t="shared" si="9"/>
        <v>Anual</v>
      </c>
      <c r="H210" t="str">
        <f t="shared" si="10"/>
        <v>IGUAL</v>
      </c>
      <c r="J210" s="5" t="s">
        <v>238</v>
      </c>
      <c r="K210" s="29" t="s">
        <v>317</v>
      </c>
      <c r="L210" t="str">
        <f t="shared" si="11"/>
        <v>Mensal</v>
      </c>
    </row>
    <row r="211" spans="1:12" ht="18" customHeight="1" x14ac:dyDescent="0.25">
      <c r="A211" s="4">
        <v>210</v>
      </c>
      <c r="B211" s="5" t="s">
        <v>234</v>
      </c>
      <c r="C211" s="4" t="s">
        <v>23</v>
      </c>
      <c r="D211" s="4" t="s">
        <v>12</v>
      </c>
      <c r="E211" s="4" t="s">
        <v>9</v>
      </c>
      <c r="F211" s="66" t="s">
        <v>12</v>
      </c>
      <c r="G211" t="str">
        <f t="shared" si="9"/>
        <v>Mensal</v>
      </c>
      <c r="H211" t="str">
        <f t="shared" si="10"/>
        <v>IGUAL</v>
      </c>
      <c r="J211" s="3" t="s">
        <v>239</v>
      </c>
      <c r="K211" s="15" t="s">
        <v>315</v>
      </c>
      <c r="L211" t="str">
        <f t="shared" si="11"/>
        <v>Semestral</v>
      </c>
    </row>
    <row r="212" spans="1:12" ht="18" customHeight="1" x14ac:dyDescent="0.25">
      <c r="A212" s="2">
        <v>211</v>
      </c>
      <c r="B212" s="3" t="s">
        <v>235</v>
      </c>
      <c r="C212" s="2" t="s">
        <v>21</v>
      </c>
      <c r="D212" s="2" t="s">
        <v>12</v>
      </c>
      <c r="E212" s="2" t="s">
        <v>9</v>
      </c>
      <c r="F212" s="66" t="s">
        <v>12</v>
      </c>
      <c r="G212" t="str">
        <f t="shared" si="9"/>
        <v>Mensal</v>
      </c>
      <c r="H212" t="str">
        <f t="shared" si="10"/>
        <v>IGUAL</v>
      </c>
      <c r="J212" s="58" t="s">
        <v>240</v>
      </c>
      <c r="K212" s="30" t="s">
        <v>317</v>
      </c>
      <c r="L212" t="str">
        <f t="shared" si="11"/>
        <v>Mensal</v>
      </c>
    </row>
    <row r="213" spans="1:12" ht="18" customHeight="1" x14ac:dyDescent="0.25">
      <c r="A213" s="4">
        <v>212</v>
      </c>
      <c r="B213" s="5" t="s">
        <v>236</v>
      </c>
      <c r="C213" s="4" t="s">
        <v>46</v>
      </c>
      <c r="D213" s="4" t="s">
        <v>26</v>
      </c>
      <c r="E213" s="4" t="s">
        <v>9</v>
      </c>
      <c r="F213" s="66" t="s">
        <v>26</v>
      </c>
      <c r="G213" t="str">
        <f t="shared" si="9"/>
        <v>Anual</v>
      </c>
      <c r="H213" t="str">
        <f t="shared" si="10"/>
        <v>IGUAL</v>
      </c>
      <c r="J213" s="3" t="s">
        <v>241</v>
      </c>
      <c r="K213" s="20" t="s">
        <v>316</v>
      </c>
      <c r="L213" t="str">
        <f t="shared" si="11"/>
        <v>Anual</v>
      </c>
    </row>
    <row r="214" spans="1:12" ht="18" customHeight="1" x14ac:dyDescent="0.25">
      <c r="A214" s="2">
        <v>213</v>
      </c>
      <c r="B214" s="3" t="s">
        <v>237</v>
      </c>
      <c r="C214" s="2" t="s">
        <v>39</v>
      </c>
      <c r="D214" s="2" t="s">
        <v>30</v>
      </c>
      <c r="E214" s="2" t="s">
        <v>9</v>
      </c>
      <c r="F214" s="66" t="s">
        <v>30</v>
      </c>
      <c r="G214" t="str">
        <f t="shared" si="9"/>
        <v>Semestral</v>
      </c>
      <c r="H214" t="str">
        <f t="shared" si="10"/>
        <v>IGUAL</v>
      </c>
      <c r="J214" s="37" t="s">
        <v>242</v>
      </c>
      <c r="K214" s="16" t="s">
        <v>316</v>
      </c>
      <c r="L214" t="str">
        <f t="shared" si="11"/>
        <v>Anual</v>
      </c>
    </row>
    <row r="215" spans="1:12" ht="18" customHeight="1" x14ac:dyDescent="0.25">
      <c r="A215" s="4">
        <v>214</v>
      </c>
      <c r="B215" s="5" t="s">
        <v>238</v>
      </c>
      <c r="C215" s="4" t="s">
        <v>23</v>
      </c>
      <c r="D215" s="4" t="s">
        <v>12</v>
      </c>
      <c r="E215" s="4" t="s">
        <v>9</v>
      </c>
      <c r="F215" s="66" t="s">
        <v>12</v>
      </c>
      <c r="G215" t="str">
        <f t="shared" si="9"/>
        <v>Mensal</v>
      </c>
      <c r="H215" t="str">
        <f t="shared" si="10"/>
        <v>IGUAL</v>
      </c>
      <c r="J215" s="50" t="s">
        <v>243</v>
      </c>
      <c r="K215" s="15" t="s">
        <v>317</v>
      </c>
      <c r="L215" t="str">
        <f t="shared" si="11"/>
        <v>Mensal</v>
      </c>
    </row>
    <row r="216" spans="1:12" ht="18" customHeight="1" x14ac:dyDescent="0.25">
      <c r="A216" s="2">
        <v>215</v>
      </c>
      <c r="B216" s="3" t="s">
        <v>239</v>
      </c>
      <c r="C216" s="2" t="s">
        <v>21</v>
      </c>
      <c r="D216" s="2" t="s">
        <v>30</v>
      </c>
      <c r="E216" s="2" t="s">
        <v>9</v>
      </c>
      <c r="F216" s="66" t="s">
        <v>30</v>
      </c>
      <c r="G216" t="str">
        <f t="shared" si="9"/>
        <v>Semestral</v>
      </c>
      <c r="H216" t="str">
        <f t="shared" si="10"/>
        <v>IGUAL</v>
      </c>
      <c r="J216" s="42" t="s">
        <v>244</v>
      </c>
      <c r="K216" s="20" t="s">
        <v>316</v>
      </c>
      <c r="L216" t="str">
        <f t="shared" si="11"/>
        <v>Anual</v>
      </c>
    </row>
    <row r="217" spans="1:12" ht="18" customHeight="1" x14ac:dyDescent="0.25">
      <c r="A217" s="4">
        <v>216</v>
      </c>
      <c r="B217" s="5" t="s">
        <v>240</v>
      </c>
      <c r="C217" s="4" t="s">
        <v>7</v>
      </c>
      <c r="D217" s="4" t="s">
        <v>8</v>
      </c>
      <c r="E217" s="4" t="s">
        <v>9</v>
      </c>
      <c r="F217" s="66" t="s">
        <v>12</v>
      </c>
      <c r="G217" t="str">
        <f t="shared" si="9"/>
        <v>Mensal</v>
      </c>
      <c r="H217" t="str">
        <f t="shared" si="10"/>
        <v>DIFERENTE</v>
      </c>
      <c r="J217" s="50" t="s">
        <v>245</v>
      </c>
      <c r="K217" s="15" t="s">
        <v>317</v>
      </c>
      <c r="L217" t="str">
        <f t="shared" si="11"/>
        <v>Mensal</v>
      </c>
    </row>
    <row r="218" spans="1:12" ht="18" customHeight="1" x14ac:dyDescent="0.25">
      <c r="A218" s="2">
        <v>217</v>
      </c>
      <c r="B218" s="3" t="s">
        <v>241</v>
      </c>
      <c r="C218" s="2" t="s">
        <v>23</v>
      </c>
      <c r="D218" s="2" t="s">
        <v>26</v>
      </c>
      <c r="E218" s="2" t="s">
        <v>9</v>
      </c>
      <c r="F218" s="66" t="s">
        <v>26</v>
      </c>
      <c r="G218" t="str">
        <f t="shared" si="9"/>
        <v>Anual</v>
      </c>
      <c r="H218" t="str">
        <f t="shared" si="10"/>
        <v>IGUAL</v>
      </c>
      <c r="J218" s="41" t="s">
        <v>246</v>
      </c>
      <c r="K218" s="19" t="s">
        <v>316</v>
      </c>
      <c r="L218" t="str">
        <f t="shared" si="11"/>
        <v>Anual</v>
      </c>
    </row>
    <row r="219" spans="1:12" ht="18" customHeight="1" x14ac:dyDescent="0.25">
      <c r="A219" s="4">
        <v>218</v>
      </c>
      <c r="B219" s="5" t="s">
        <v>242</v>
      </c>
      <c r="C219" s="4" t="s">
        <v>23</v>
      </c>
      <c r="D219" s="4" t="s">
        <v>26</v>
      </c>
      <c r="E219" s="4" t="s">
        <v>9</v>
      </c>
      <c r="F219" s="66" t="s">
        <v>26</v>
      </c>
      <c r="G219" t="str">
        <f t="shared" si="9"/>
        <v>Anual</v>
      </c>
      <c r="H219" t="str">
        <f t="shared" si="10"/>
        <v>IGUAL</v>
      </c>
      <c r="J219" s="61" t="s">
        <v>247</v>
      </c>
      <c r="K219" s="33" t="s">
        <v>317</v>
      </c>
      <c r="L219" t="str">
        <f t="shared" si="11"/>
        <v>Mensal</v>
      </c>
    </row>
    <row r="220" spans="1:12" ht="18" customHeight="1" x14ac:dyDescent="0.25">
      <c r="A220" s="2">
        <v>219</v>
      </c>
      <c r="B220" s="3" t="s">
        <v>243</v>
      </c>
      <c r="C220" s="2" t="s">
        <v>15</v>
      </c>
      <c r="D220" s="2" t="s">
        <v>12</v>
      </c>
      <c r="E220" s="2" t="s">
        <v>9</v>
      </c>
      <c r="F220" s="66" t="s">
        <v>12</v>
      </c>
      <c r="G220" t="str">
        <f t="shared" si="9"/>
        <v>Mensal</v>
      </c>
      <c r="H220" t="str">
        <f t="shared" si="10"/>
        <v>IGUAL</v>
      </c>
      <c r="J220" s="42" t="s">
        <v>248</v>
      </c>
      <c r="K220" s="20" t="s">
        <v>317</v>
      </c>
      <c r="L220" t="str">
        <f t="shared" si="11"/>
        <v>Mensal</v>
      </c>
    </row>
    <row r="221" spans="1:12" ht="18" customHeight="1" x14ac:dyDescent="0.25">
      <c r="A221" s="4">
        <v>220</v>
      </c>
      <c r="B221" s="5" t="s">
        <v>244</v>
      </c>
      <c r="C221" s="4" t="s">
        <v>23</v>
      </c>
      <c r="D221" s="4" t="s">
        <v>26</v>
      </c>
      <c r="E221" s="4" t="s">
        <v>9</v>
      </c>
      <c r="F221" s="66" t="s">
        <v>26</v>
      </c>
      <c r="G221" t="str">
        <f t="shared" si="9"/>
        <v>Anual</v>
      </c>
      <c r="H221" t="str">
        <f t="shared" si="10"/>
        <v>IGUAL</v>
      </c>
      <c r="J221" s="3" t="s">
        <v>251</v>
      </c>
      <c r="K221" s="31" t="s">
        <v>319</v>
      </c>
      <c r="L221" t="str">
        <f t="shared" si="11"/>
        <v>Trimestral</v>
      </c>
    </row>
    <row r="222" spans="1:12" ht="18" customHeight="1" x14ac:dyDescent="0.25">
      <c r="A222" s="2">
        <v>221</v>
      </c>
      <c r="B222" s="3" t="s">
        <v>245</v>
      </c>
      <c r="C222" s="2" t="s">
        <v>46</v>
      </c>
      <c r="D222" s="2" t="s">
        <v>12</v>
      </c>
      <c r="E222" s="2" t="s">
        <v>9</v>
      </c>
      <c r="F222" s="66" t="s">
        <v>12</v>
      </c>
      <c r="G222" t="str">
        <f t="shared" si="9"/>
        <v>Mensal</v>
      </c>
      <c r="H222" t="str">
        <f t="shared" si="10"/>
        <v>IGUAL</v>
      </c>
      <c r="J222" s="47" t="s">
        <v>252</v>
      </c>
      <c r="K222" s="20" t="s">
        <v>319</v>
      </c>
      <c r="L222" t="str">
        <f t="shared" si="11"/>
        <v>Trimestral</v>
      </c>
    </row>
    <row r="223" spans="1:12" ht="18" customHeight="1" x14ac:dyDescent="0.25">
      <c r="A223" s="4">
        <v>222</v>
      </c>
      <c r="B223" s="5" t="s">
        <v>246</v>
      </c>
      <c r="C223" s="4" t="s">
        <v>23</v>
      </c>
      <c r="D223" s="4" t="s">
        <v>26</v>
      </c>
      <c r="E223" s="4" t="s">
        <v>9</v>
      </c>
      <c r="F223" s="66" t="s">
        <v>26</v>
      </c>
      <c r="G223" t="str">
        <f t="shared" si="9"/>
        <v>Anual</v>
      </c>
      <c r="H223" t="str">
        <f t="shared" si="10"/>
        <v>IGUAL</v>
      </c>
      <c r="J223" s="5" t="s">
        <v>254</v>
      </c>
      <c r="K223" s="15" t="s">
        <v>317</v>
      </c>
      <c r="L223" t="str">
        <f t="shared" si="11"/>
        <v>Mensal</v>
      </c>
    </row>
    <row r="224" spans="1:12" ht="18" customHeight="1" x14ac:dyDescent="0.25">
      <c r="A224" s="2">
        <v>223</v>
      </c>
      <c r="B224" s="3" t="s">
        <v>247</v>
      </c>
      <c r="C224" s="2" t="s">
        <v>15</v>
      </c>
      <c r="D224" s="2" t="s">
        <v>12</v>
      </c>
      <c r="E224" s="2" t="s">
        <v>9</v>
      </c>
      <c r="F224" s="66" t="s">
        <v>12</v>
      </c>
      <c r="G224" t="str">
        <f t="shared" si="9"/>
        <v>Mensal</v>
      </c>
      <c r="H224" t="str">
        <f t="shared" si="10"/>
        <v>IGUAL</v>
      </c>
      <c r="J224" s="3" t="s">
        <v>255</v>
      </c>
      <c r="K224" s="15">
        <v>1</v>
      </c>
      <c r="L224">
        <f t="shared" si="11"/>
        <v>0</v>
      </c>
    </row>
    <row r="225" spans="1:12" ht="18" customHeight="1" x14ac:dyDescent="0.25">
      <c r="A225" s="4">
        <v>224</v>
      </c>
      <c r="B225" s="5" t="s">
        <v>248</v>
      </c>
      <c r="C225" s="4" t="s">
        <v>21</v>
      </c>
      <c r="D225" s="4" t="s">
        <v>12</v>
      </c>
      <c r="E225" s="4" t="s">
        <v>9</v>
      </c>
      <c r="F225" s="66" t="s">
        <v>12</v>
      </c>
      <c r="G225" t="str">
        <f t="shared" si="9"/>
        <v>Mensal</v>
      </c>
      <c r="H225" t="str">
        <f t="shared" si="10"/>
        <v>IGUAL</v>
      </c>
      <c r="J225" s="42" t="s">
        <v>256</v>
      </c>
      <c r="K225" s="20" t="s">
        <v>315</v>
      </c>
      <c r="L225" t="str">
        <f t="shared" si="11"/>
        <v>Semestral</v>
      </c>
    </row>
    <row r="226" spans="1:12" ht="18" customHeight="1" x14ac:dyDescent="0.25">
      <c r="A226" s="2">
        <v>225</v>
      </c>
      <c r="B226" s="3" t="s">
        <v>249</v>
      </c>
      <c r="C226" s="2" t="s">
        <v>179</v>
      </c>
      <c r="D226" s="2" t="s">
        <v>12</v>
      </c>
      <c r="E226" s="2" t="s">
        <v>9</v>
      </c>
      <c r="F226" s="66" t="s">
        <v>12</v>
      </c>
      <c r="G226" t="str">
        <f t="shared" si="9"/>
        <v>Mensal</v>
      </c>
      <c r="H226" t="str">
        <f t="shared" si="10"/>
        <v>IGUAL</v>
      </c>
      <c r="J226" s="50" t="s">
        <v>339</v>
      </c>
      <c r="K226" s="15" t="s">
        <v>317</v>
      </c>
      <c r="L226" t="str">
        <f t="shared" si="11"/>
        <v>Mensal</v>
      </c>
    </row>
    <row r="227" spans="1:12" ht="18" customHeight="1" x14ac:dyDescent="0.25">
      <c r="A227" s="4">
        <v>226</v>
      </c>
      <c r="B227" s="5" t="s">
        <v>250</v>
      </c>
      <c r="C227" s="4" t="s">
        <v>19</v>
      </c>
      <c r="D227" s="4" t="s">
        <v>12</v>
      </c>
      <c r="E227" s="4" t="s">
        <v>9</v>
      </c>
      <c r="F227" s="66" t="s">
        <v>12</v>
      </c>
      <c r="G227" t="str">
        <f t="shared" si="9"/>
        <v>Mensal</v>
      </c>
      <c r="H227" t="str">
        <f t="shared" si="10"/>
        <v>IGUAL</v>
      </c>
      <c r="J227" s="50" t="s">
        <v>258</v>
      </c>
      <c r="K227" s="15" t="s">
        <v>317</v>
      </c>
      <c r="L227" t="str">
        <f t="shared" si="11"/>
        <v>Mensal</v>
      </c>
    </row>
    <row r="228" spans="1:12" ht="18" customHeight="1" x14ac:dyDescent="0.25">
      <c r="A228" s="2">
        <v>227</v>
      </c>
      <c r="B228" s="3" t="s">
        <v>251</v>
      </c>
      <c r="C228" s="2" t="s">
        <v>156</v>
      </c>
      <c r="D228" s="2" t="s">
        <v>8</v>
      </c>
      <c r="E228" s="2" t="s">
        <v>9</v>
      </c>
      <c r="F228" s="66" t="s">
        <v>8</v>
      </c>
      <c r="G228" t="str">
        <f t="shared" si="9"/>
        <v>Trimestral</v>
      </c>
      <c r="H228" t="str">
        <f t="shared" si="10"/>
        <v>IGUAL</v>
      </c>
      <c r="J228" s="39" t="s">
        <v>259</v>
      </c>
      <c r="K228" s="18" t="s">
        <v>317</v>
      </c>
      <c r="L228" t="str">
        <f t="shared" si="11"/>
        <v>Mensal</v>
      </c>
    </row>
    <row r="229" spans="1:12" ht="18" customHeight="1" x14ac:dyDescent="0.25">
      <c r="A229" s="4">
        <v>228</v>
      </c>
      <c r="B229" s="5" t="s">
        <v>252</v>
      </c>
      <c r="C229" s="4" t="s">
        <v>23</v>
      </c>
      <c r="D229" s="4" t="s">
        <v>8</v>
      </c>
      <c r="E229" s="4" t="s">
        <v>9</v>
      </c>
      <c r="F229" s="66" t="s">
        <v>8</v>
      </c>
      <c r="G229" t="str">
        <f t="shared" si="9"/>
        <v>Trimestral</v>
      </c>
      <c r="H229" t="str">
        <f t="shared" si="10"/>
        <v>IGUAL</v>
      </c>
      <c r="J229" s="47" t="s">
        <v>260</v>
      </c>
      <c r="K229" s="20" t="s">
        <v>315</v>
      </c>
      <c r="L229" t="str">
        <f t="shared" si="11"/>
        <v>Semestral</v>
      </c>
    </row>
    <row r="230" spans="1:12" ht="18" customHeight="1" x14ac:dyDescent="0.25">
      <c r="A230" s="6">
        <v>229</v>
      </c>
      <c r="B230" s="7" t="s">
        <v>253</v>
      </c>
      <c r="C230" s="6" t="s">
        <v>15</v>
      </c>
      <c r="D230" s="6" t="s">
        <v>16</v>
      </c>
      <c r="E230" s="6" t="s">
        <v>17</v>
      </c>
      <c r="F230" s="66" t="e">
        <v>#N/A</v>
      </c>
      <c r="G230" t="e">
        <f t="shared" si="9"/>
        <v>#N/A</v>
      </c>
      <c r="H230" t="e">
        <f t="shared" si="10"/>
        <v>#N/A</v>
      </c>
      <c r="J230" s="58" t="s">
        <v>261</v>
      </c>
      <c r="K230" s="30" t="s">
        <v>317</v>
      </c>
      <c r="L230" t="str">
        <f t="shared" si="11"/>
        <v>Mensal</v>
      </c>
    </row>
    <row r="231" spans="1:12" ht="18" customHeight="1" x14ac:dyDescent="0.25">
      <c r="A231" s="4">
        <v>230</v>
      </c>
      <c r="B231" s="5" t="s">
        <v>254</v>
      </c>
      <c r="C231" s="4" t="s">
        <v>11</v>
      </c>
      <c r="D231" s="4" t="s">
        <v>12</v>
      </c>
      <c r="E231" s="4" t="s">
        <v>9</v>
      </c>
      <c r="F231" s="66" t="s">
        <v>12</v>
      </c>
      <c r="G231" t="str">
        <f t="shared" si="9"/>
        <v>Mensal</v>
      </c>
      <c r="H231" t="str">
        <f t="shared" si="10"/>
        <v>IGUAL</v>
      </c>
      <c r="J231" s="5" t="s">
        <v>262</v>
      </c>
      <c r="K231" s="20" t="s">
        <v>317</v>
      </c>
      <c r="L231" t="str">
        <f t="shared" si="11"/>
        <v>Mensal</v>
      </c>
    </row>
    <row r="232" spans="1:12" ht="18" customHeight="1" x14ac:dyDescent="0.25">
      <c r="A232" s="2">
        <v>231</v>
      </c>
      <c r="B232" s="3" t="s">
        <v>255</v>
      </c>
      <c r="C232" s="2" t="s">
        <v>11</v>
      </c>
      <c r="D232" s="2" t="s">
        <v>12</v>
      </c>
      <c r="E232" s="2" t="s">
        <v>9</v>
      </c>
      <c r="F232" s="66">
        <v>0</v>
      </c>
      <c r="G232">
        <f t="shared" si="9"/>
        <v>0</v>
      </c>
      <c r="H232" t="str">
        <f t="shared" si="10"/>
        <v>DIFERENTE</v>
      </c>
      <c r="J232" s="3" t="s">
        <v>263</v>
      </c>
      <c r="K232" s="20" t="s">
        <v>316</v>
      </c>
      <c r="L232" t="str">
        <f t="shared" si="11"/>
        <v>Anual</v>
      </c>
    </row>
    <row r="233" spans="1:12" ht="18" customHeight="1" x14ac:dyDescent="0.25">
      <c r="A233" s="4">
        <v>232</v>
      </c>
      <c r="B233" s="5" t="s">
        <v>256</v>
      </c>
      <c r="C233" s="4" t="s">
        <v>19</v>
      </c>
      <c r="D233" s="4" t="s">
        <v>30</v>
      </c>
      <c r="E233" s="4" t="s">
        <v>9</v>
      </c>
      <c r="F233" s="66" t="s">
        <v>30</v>
      </c>
      <c r="G233" t="str">
        <f t="shared" si="9"/>
        <v>Semestral</v>
      </c>
      <c r="H233" t="str">
        <f t="shared" si="10"/>
        <v>IGUAL</v>
      </c>
      <c r="J233" s="48" t="s">
        <v>264</v>
      </c>
      <c r="K233" s="16" t="s">
        <v>317</v>
      </c>
      <c r="L233" t="str">
        <f t="shared" si="11"/>
        <v>Mensal</v>
      </c>
    </row>
    <row r="234" spans="1:12" ht="18" customHeight="1" x14ac:dyDescent="0.25">
      <c r="A234" s="2">
        <v>233</v>
      </c>
      <c r="B234" s="3" t="s">
        <v>257</v>
      </c>
      <c r="C234" s="2" t="s">
        <v>21</v>
      </c>
      <c r="D234" s="2" t="s">
        <v>12</v>
      </c>
      <c r="E234" s="2" t="s">
        <v>9</v>
      </c>
      <c r="F234" s="66" t="e">
        <v>#N/A</v>
      </c>
      <c r="G234" t="e">
        <f t="shared" si="9"/>
        <v>#N/A</v>
      </c>
      <c r="H234" t="e">
        <f t="shared" si="10"/>
        <v>#N/A</v>
      </c>
      <c r="J234" s="3" t="s">
        <v>265</v>
      </c>
      <c r="K234" s="30" t="s">
        <v>317</v>
      </c>
      <c r="L234" t="str">
        <f t="shared" si="11"/>
        <v>Mensal</v>
      </c>
    </row>
    <row r="235" spans="1:12" ht="18" customHeight="1" x14ac:dyDescent="0.25">
      <c r="A235" s="4">
        <v>234</v>
      </c>
      <c r="B235" s="5" t="s">
        <v>258</v>
      </c>
      <c r="C235" s="4" t="s">
        <v>19</v>
      </c>
      <c r="D235" s="4" t="s">
        <v>12</v>
      </c>
      <c r="E235" s="4" t="s">
        <v>9</v>
      </c>
      <c r="F235" s="66" t="s">
        <v>12</v>
      </c>
      <c r="G235" t="str">
        <f t="shared" si="9"/>
        <v>Mensal</v>
      </c>
      <c r="H235" t="str">
        <f t="shared" si="10"/>
        <v>IGUAL</v>
      </c>
      <c r="J235" s="58" t="s">
        <v>266</v>
      </c>
      <c r="K235" s="30" t="s">
        <v>317</v>
      </c>
      <c r="L235" t="str">
        <f t="shared" si="11"/>
        <v>Mensal</v>
      </c>
    </row>
    <row r="236" spans="1:12" ht="18" customHeight="1" x14ac:dyDescent="0.25">
      <c r="A236" s="2">
        <v>235</v>
      </c>
      <c r="B236" s="3" t="s">
        <v>259</v>
      </c>
      <c r="C236" s="2" t="s">
        <v>15</v>
      </c>
      <c r="D236" s="2" t="s">
        <v>12</v>
      </c>
      <c r="E236" s="2" t="s">
        <v>9</v>
      </c>
      <c r="F236" s="66" t="s">
        <v>12</v>
      </c>
      <c r="G236" t="str">
        <f t="shared" si="9"/>
        <v>Mensal</v>
      </c>
      <c r="H236" t="str">
        <f t="shared" si="10"/>
        <v>IGUAL</v>
      </c>
      <c r="J236" s="53" t="s">
        <v>267</v>
      </c>
      <c r="K236" s="28" t="s">
        <v>317</v>
      </c>
      <c r="L236" t="str">
        <f t="shared" si="11"/>
        <v>Mensal</v>
      </c>
    </row>
    <row r="237" spans="1:12" ht="18" customHeight="1" x14ac:dyDescent="0.25">
      <c r="A237" s="4">
        <v>236</v>
      </c>
      <c r="B237" s="5" t="s">
        <v>260</v>
      </c>
      <c r="C237" s="4" t="s">
        <v>39</v>
      </c>
      <c r="D237" s="4" t="s">
        <v>30</v>
      </c>
      <c r="E237" s="4" t="s">
        <v>9</v>
      </c>
      <c r="F237" s="66" t="s">
        <v>30</v>
      </c>
      <c r="G237" t="str">
        <f t="shared" si="9"/>
        <v>Semestral</v>
      </c>
      <c r="H237" t="str">
        <f t="shared" si="10"/>
        <v>IGUAL</v>
      </c>
      <c r="J237" s="36" t="s">
        <v>268</v>
      </c>
      <c r="K237" s="15" t="s">
        <v>317</v>
      </c>
      <c r="L237" t="str">
        <f t="shared" si="11"/>
        <v>Mensal</v>
      </c>
    </row>
    <row r="238" spans="1:12" ht="18" customHeight="1" x14ac:dyDescent="0.25">
      <c r="A238" s="2">
        <v>237</v>
      </c>
      <c r="B238" s="3" t="s">
        <v>261</v>
      </c>
      <c r="C238" s="2" t="s">
        <v>15</v>
      </c>
      <c r="D238" s="2" t="s">
        <v>12</v>
      </c>
      <c r="E238" s="2" t="s">
        <v>9</v>
      </c>
      <c r="F238" s="66" t="s">
        <v>12</v>
      </c>
      <c r="G238" t="str">
        <f t="shared" si="9"/>
        <v>Mensal</v>
      </c>
      <c r="H238" t="str">
        <f t="shared" si="10"/>
        <v>IGUAL</v>
      </c>
      <c r="J238" s="50" t="s">
        <v>269</v>
      </c>
      <c r="K238" s="15" t="s">
        <v>317</v>
      </c>
      <c r="L238" t="str">
        <f t="shared" si="11"/>
        <v>Mensal</v>
      </c>
    </row>
    <row r="239" spans="1:12" ht="18" customHeight="1" x14ac:dyDescent="0.25">
      <c r="A239" s="4">
        <v>238</v>
      </c>
      <c r="B239" s="5" t="s">
        <v>262</v>
      </c>
      <c r="C239" s="4" t="s">
        <v>11</v>
      </c>
      <c r="D239" s="4" t="s">
        <v>12</v>
      </c>
      <c r="E239" s="4" t="s">
        <v>9</v>
      </c>
      <c r="F239" s="66" t="s">
        <v>12</v>
      </c>
      <c r="G239" t="str">
        <f t="shared" si="9"/>
        <v>Mensal</v>
      </c>
      <c r="H239" t="str">
        <f t="shared" si="10"/>
        <v>IGUAL</v>
      </c>
      <c r="J239" s="5" t="s">
        <v>270</v>
      </c>
      <c r="K239" s="20" t="s">
        <v>319</v>
      </c>
      <c r="L239" t="str">
        <f t="shared" si="11"/>
        <v>Trimestral</v>
      </c>
    </row>
    <row r="240" spans="1:12" ht="18" customHeight="1" x14ac:dyDescent="0.25">
      <c r="A240" s="2">
        <v>239</v>
      </c>
      <c r="B240" s="3" t="s">
        <v>263</v>
      </c>
      <c r="C240" s="2" t="s">
        <v>15</v>
      </c>
      <c r="D240" s="2" t="s">
        <v>26</v>
      </c>
      <c r="E240" s="2" t="s">
        <v>9</v>
      </c>
      <c r="F240" s="66" t="s">
        <v>26</v>
      </c>
      <c r="G240" t="str">
        <f t="shared" si="9"/>
        <v>Anual</v>
      </c>
      <c r="H240" t="str">
        <f t="shared" si="10"/>
        <v>IGUAL</v>
      </c>
      <c r="J240" s="58" t="s">
        <v>271</v>
      </c>
      <c r="K240" s="30" t="s">
        <v>317</v>
      </c>
      <c r="L240" t="str">
        <f t="shared" si="11"/>
        <v>Mensal</v>
      </c>
    </row>
    <row r="241" spans="1:12" ht="18" customHeight="1" x14ac:dyDescent="0.25">
      <c r="A241" s="4">
        <v>240</v>
      </c>
      <c r="B241" s="5" t="s">
        <v>264</v>
      </c>
      <c r="C241" s="4" t="s">
        <v>23</v>
      </c>
      <c r="D241" s="4" t="s">
        <v>12</v>
      </c>
      <c r="E241" s="4" t="s">
        <v>9</v>
      </c>
      <c r="F241" s="66" t="s">
        <v>12</v>
      </c>
      <c r="G241" t="str">
        <f t="shared" si="9"/>
        <v>Mensal</v>
      </c>
      <c r="H241" t="str">
        <f t="shared" si="10"/>
        <v>IGUAL</v>
      </c>
      <c r="J241" s="5" t="s">
        <v>272</v>
      </c>
      <c r="K241" s="18" t="s">
        <v>316</v>
      </c>
      <c r="L241" t="str">
        <f t="shared" si="11"/>
        <v>Anual</v>
      </c>
    </row>
    <row r="242" spans="1:12" ht="18" customHeight="1" x14ac:dyDescent="0.25">
      <c r="A242" s="2">
        <v>241</v>
      </c>
      <c r="B242" s="3" t="s">
        <v>265</v>
      </c>
      <c r="C242" s="2" t="s">
        <v>21</v>
      </c>
      <c r="D242" s="2" t="s">
        <v>12</v>
      </c>
      <c r="E242" s="2" t="s">
        <v>9</v>
      </c>
      <c r="F242" s="66" t="s">
        <v>12</v>
      </c>
      <c r="G242" t="str">
        <f t="shared" si="9"/>
        <v>Mensal</v>
      </c>
      <c r="H242" t="str">
        <f t="shared" si="10"/>
        <v>IGUAL</v>
      </c>
      <c r="J242" s="56" t="s">
        <v>273</v>
      </c>
      <c r="K242" s="15" t="s">
        <v>319</v>
      </c>
      <c r="L242" t="str">
        <f t="shared" si="11"/>
        <v>Trimestral</v>
      </c>
    </row>
    <row r="243" spans="1:12" ht="18" customHeight="1" x14ac:dyDescent="0.25">
      <c r="A243" s="4">
        <v>242</v>
      </c>
      <c r="B243" s="5" t="s">
        <v>266</v>
      </c>
      <c r="C243" s="4" t="s">
        <v>23</v>
      </c>
      <c r="D243" s="4" t="s">
        <v>30</v>
      </c>
      <c r="E243" s="4" t="s">
        <v>9</v>
      </c>
      <c r="F243" s="66" t="s">
        <v>12</v>
      </c>
      <c r="G243" t="str">
        <f t="shared" si="9"/>
        <v>Mensal</v>
      </c>
      <c r="H243" t="str">
        <f t="shared" si="10"/>
        <v>DIFERENTE</v>
      </c>
      <c r="J243" s="42" t="s">
        <v>274</v>
      </c>
      <c r="K243" s="20" t="s">
        <v>316</v>
      </c>
      <c r="L243" t="str">
        <f t="shared" si="11"/>
        <v>Anual</v>
      </c>
    </row>
    <row r="244" spans="1:12" ht="18" customHeight="1" x14ac:dyDescent="0.25">
      <c r="A244" s="2">
        <v>243</v>
      </c>
      <c r="B244" s="3" t="s">
        <v>267</v>
      </c>
      <c r="C244" s="2" t="s">
        <v>23</v>
      </c>
      <c r="D244" s="2" t="s">
        <v>12</v>
      </c>
      <c r="E244" s="2" t="s">
        <v>9</v>
      </c>
      <c r="F244" s="66" t="s">
        <v>12</v>
      </c>
      <c r="G244" t="str">
        <f t="shared" si="9"/>
        <v>Mensal</v>
      </c>
      <c r="H244" t="str">
        <f t="shared" si="10"/>
        <v>IGUAL</v>
      </c>
      <c r="J244" s="3" t="s">
        <v>275</v>
      </c>
      <c r="K244" s="15" t="s">
        <v>315</v>
      </c>
      <c r="L244" t="str">
        <f t="shared" si="11"/>
        <v>Semestral</v>
      </c>
    </row>
    <row r="245" spans="1:12" ht="18" customHeight="1" x14ac:dyDescent="0.25">
      <c r="A245" s="4">
        <v>244</v>
      </c>
      <c r="B245" s="5" t="s">
        <v>268</v>
      </c>
      <c r="C245" s="4" t="s">
        <v>39</v>
      </c>
      <c r="D245" s="4" t="s">
        <v>12</v>
      </c>
      <c r="E245" s="4" t="s">
        <v>9</v>
      </c>
      <c r="F245" s="66" t="s">
        <v>12</v>
      </c>
      <c r="G245" t="str">
        <f t="shared" si="9"/>
        <v>Mensal</v>
      </c>
      <c r="H245" t="str">
        <f t="shared" si="10"/>
        <v>IGUAL</v>
      </c>
      <c r="J245" s="5" t="s">
        <v>276</v>
      </c>
      <c r="K245" s="30" t="s">
        <v>317</v>
      </c>
      <c r="L245" t="str">
        <f t="shared" si="11"/>
        <v>Mensal</v>
      </c>
    </row>
    <row r="246" spans="1:12" ht="18" customHeight="1" x14ac:dyDescent="0.25">
      <c r="A246" s="2">
        <v>245</v>
      </c>
      <c r="B246" s="3" t="s">
        <v>269</v>
      </c>
      <c r="C246" s="2" t="s">
        <v>23</v>
      </c>
      <c r="D246" s="2" t="s">
        <v>12</v>
      </c>
      <c r="E246" s="2" t="s">
        <v>9</v>
      </c>
      <c r="F246" s="66" t="s">
        <v>12</v>
      </c>
      <c r="G246" t="str">
        <f t="shared" si="9"/>
        <v>Mensal</v>
      </c>
      <c r="H246" t="str">
        <f t="shared" si="10"/>
        <v>IGUAL</v>
      </c>
      <c r="J246" s="53" t="s">
        <v>277</v>
      </c>
      <c r="K246" s="28" t="s">
        <v>319</v>
      </c>
      <c r="L246" t="str">
        <f t="shared" si="11"/>
        <v>Trimestral</v>
      </c>
    </row>
    <row r="247" spans="1:12" ht="18" customHeight="1" x14ac:dyDescent="0.25">
      <c r="A247" s="4">
        <v>246</v>
      </c>
      <c r="B247" s="5" t="s">
        <v>270</v>
      </c>
      <c r="C247" s="4" t="s">
        <v>46</v>
      </c>
      <c r="D247" s="4" t="s">
        <v>8</v>
      </c>
      <c r="E247" s="4" t="s">
        <v>9</v>
      </c>
      <c r="F247" s="66" t="s">
        <v>8</v>
      </c>
      <c r="G247" t="str">
        <f t="shared" si="9"/>
        <v>Trimestral</v>
      </c>
      <c r="H247" t="str">
        <f t="shared" si="10"/>
        <v>IGUAL</v>
      </c>
      <c r="J247" s="5" t="s">
        <v>278</v>
      </c>
      <c r="K247" s="14" t="s">
        <v>315</v>
      </c>
      <c r="L247" t="str">
        <f t="shared" si="11"/>
        <v>Semestral</v>
      </c>
    </row>
    <row r="248" spans="1:12" ht="18" customHeight="1" x14ac:dyDescent="0.25">
      <c r="A248" s="2">
        <v>247</v>
      </c>
      <c r="B248" s="3" t="s">
        <v>271</v>
      </c>
      <c r="C248" s="2" t="s">
        <v>19</v>
      </c>
      <c r="D248" s="2" t="s">
        <v>12</v>
      </c>
      <c r="E248" s="2" t="s">
        <v>9</v>
      </c>
      <c r="F248" s="66" t="s">
        <v>12</v>
      </c>
      <c r="G248" t="str">
        <f t="shared" si="9"/>
        <v>Mensal</v>
      </c>
      <c r="H248" t="str">
        <f t="shared" si="10"/>
        <v>IGUAL</v>
      </c>
      <c r="J248" s="5" t="s">
        <v>280</v>
      </c>
      <c r="K248" s="30" t="s">
        <v>317</v>
      </c>
      <c r="L248" t="str">
        <f t="shared" si="11"/>
        <v>Mensal</v>
      </c>
    </row>
    <row r="249" spans="1:12" ht="18" customHeight="1" x14ac:dyDescent="0.25">
      <c r="A249" s="4">
        <v>248</v>
      </c>
      <c r="B249" s="5" t="s">
        <v>272</v>
      </c>
      <c r="C249" s="4" t="s">
        <v>11</v>
      </c>
      <c r="D249" s="4" t="s">
        <v>26</v>
      </c>
      <c r="E249" s="4" t="s">
        <v>9</v>
      </c>
      <c r="F249" s="66" t="s">
        <v>26</v>
      </c>
      <c r="G249" t="str">
        <f t="shared" si="9"/>
        <v>Anual</v>
      </c>
      <c r="H249" t="str">
        <f t="shared" si="10"/>
        <v>IGUAL</v>
      </c>
      <c r="J249" s="39" t="s">
        <v>322</v>
      </c>
      <c r="K249" s="18" t="s">
        <v>316</v>
      </c>
      <c r="L249" t="str">
        <f t="shared" si="11"/>
        <v>Anual</v>
      </c>
    </row>
    <row r="250" spans="1:12" ht="18" customHeight="1" x14ac:dyDescent="0.25">
      <c r="A250" s="2">
        <v>249</v>
      </c>
      <c r="B250" s="3" t="s">
        <v>273</v>
      </c>
      <c r="C250" s="2" t="s">
        <v>23</v>
      </c>
      <c r="D250" s="2" t="s">
        <v>8</v>
      </c>
      <c r="E250" s="2" t="s">
        <v>9</v>
      </c>
      <c r="F250" s="66" t="s">
        <v>8</v>
      </c>
      <c r="G250" t="str">
        <f t="shared" si="9"/>
        <v>Trimestral</v>
      </c>
      <c r="H250" t="str">
        <f t="shared" si="10"/>
        <v>IGUAL</v>
      </c>
      <c r="J250" s="3" t="s">
        <v>281</v>
      </c>
      <c r="K250" s="20" t="s">
        <v>315</v>
      </c>
      <c r="L250" t="str">
        <f t="shared" si="11"/>
        <v>Semestral</v>
      </c>
    </row>
    <row r="251" spans="1:12" ht="18" customHeight="1" x14ac:dyDescent="0.25">
      <c r="A251" s="4">
        <v>250</v>
      </c>
      <c r="B251" s="5" t="s">
        <v>274</v>
      </c>
      <c r="C251" s="4" t="s">
        <v>23</v>
      </c>
      <c r="D251" s="4" t="s">
        <v>26</v>
      </c>
      <c r="E251" s="4" t="s">
        <v>9</v>
      </c>
      <c r="F251" s="66" t="s">
        <v>26</v>
      </c>
      <c r="G251" t="str">
        <f t="shared" si="9"/>
        <v>Anual</v>
      </c>
      <c r="H251" t="str">
        <f t="shared" si="10"/>
        <v>IGUAL</v>
      </c>
      <c r="J251" s="5" t="s">
        <v>282</v>
      </c>
      <c r="K251" s="20" t="s">
        <v>321</v>
      </c>
      <c r="L251" t="str">
        <f t="shared" si="11"/>
        <v>Anual</v>
      </c>
    </row>
    <row r="252" spans="1:12" ht="18" customHeight="1" x14ac:dyDescent="0.25">
      <c r="A252" s="2">
        <v>251</v>
      </c>
      <c r="B252" s="3" t="s">
        <v>275</v>
      </c>
      <c r="C252" s="2" t="s">
        <v>15</v>
      </c>
      <c r="D252" s="2" t="s">
        <v>30</v>
      </c>
      <c r="E252" s="2" t="s">
        <v>9</v>
      </c>
      <c r="F252" s="66" t="s">
        <v>30</v>
      </c>
      <c r="G252" t="str">
        <f t="shared" si="9"/>
        <v>Semestral</v>
      </c>
      <c r="H252" t="str">
        <f t="shared" si="10"/>
        <v>IGUAL</v>
      </c>
      <c r="J252" s="55" t="s">
        <v>283</v>
      </c>
      <c r="K252" s="20" t="s">
        <v>316</v>
      </c>
      <c r="L252" t="str">
        <f t="shared" si="11"/>
        <v>Anual</v>
      </c>
    </row>
    <row r="253" spans="1:12" ht="18" customHeight="1" x14ac:dyDescent="0.25">
      <c r="A253" s="4">
        <v>252</v>
      </c>
      <c r="B253" s="5" t="s">
        <v>276</v>
      </c>
      <c r="C253" s="4" t="s">
        <v>52</v>
      </c>
      <c r="D253" s="4" t="s">
        <v>12</v>
      </c>
      <c r="E253" s="4" t="s">
        <v>9</v>
      </c>
      <c r="F253" s="66" t="s">
        <v>12</v>
      </c>
      <c r="G253" t="str">
        <f t="shared" si="9"/>
        <v>Mensal</v>
      </c>
      <c r="H253" t="str">
        <f t="shared" si="10"/>
        <v>IGUAL</v>
      </c>
      <c r="J253" s="5" t="s">
        <v>284</v>
      </c>
      <c r="K253" s="20" t="s">
        <v>319</v>
      </c>
      <c r="L253" t="str">
        <f t="shared" si="11"/>
        <v>Trimestral</v>
      </c>
    </row>
    <row r="254" spans="1:12" ht="18" customHeight="1" x14ac:dyDescent="0.25">
      <c r="A254" s="2">
        <v>253</v>
      </c>
      <c r="B254" s="3" t="s">
        <v>277</v>
      </c>
      <c r="C254" s="2" t="s">
        <v>11</v>
      </c>
      <c r="D254" s="2" t="s">
        <v>12</v>
      </c>
      <c r="E254" s="2" t="s">
        <v>9</v>
      </c>
      <c r="F254" s="66" t="s">
        <v>8</v>
      </c>
      <c r="G254" t="str">
        <f t="shared" si="9"/>
        <v>Trimestral</v>
      </c>
      <c r="H254" t="str">
        <f t="shared" si="10"/>
        <v>DIFERENTE</v>
      </c>
      <c r="J254" s="3" t="s">
        <v>285</v>
      </c>
      <c r="K254" s="15" t="s">
        <v>316</v>
      </c>
      <c r="L254" t="str">
        <f t="shared" si="11"/>
        <v>Anual</v>
      </c>
    </row>
    <row r="255" spans="1:12" ht="18" customHeight="1" x14ac:dyDescent="0.25">
      <c r="A255" s="4">
        <v>254</v>
      </c>
      <c r="B255" s="5" t="s">
        <v>278</v>
      </c>
      <c r="C255" s="4" t="s">
        <v>46</v>
      </c>
      <c r="D255" s="4" t="s">
        <v>30</v>
      </c>
      <c r="E255" s="4" t="s">
        <v>9</v>
      </c>
      <c r="F255" s="66" t="s">
        <v>30</v>
      </c>
      <c r="G255" t="str">
        <f t="shared" si="9"/>
        <v>Semestral</v>
      </c>
      <c r="H255" t="str">
        <f t="shared" si="10"/>
        <v>IGUAL</v>
      </c>
      <c r="J255" s="5" t="s">
        <v>286</v>
      </c>
      <c r="K255" s="16" t="s">
        <v>317</v>
      </c>
      <c r="L255" t="str">
        <f t="shared" si="11"/>
        <v>Mensal</v>
      </c>
    </row>
    <row r="256" spans="1:12" ht="18" customHeight="1" x14ac:dyDescent="0.25">
      <c r="A256" s="2">
        <v>255</v>
      </c>
      <c r="B256" s="3" t="s">
        <v>279</v>
      </c>
      <c r="C256" s="2" t="s">
        <v>21</v>
      </c>
      <c r="D256" s="2" t="s">
        <v>12</v>
      </c>
      <c r="E256" s="2" t="s">
        <v>9</v>
      </c>
      <c r="F256" s="66" t="e">
        <v>#N/A</v>
      </c>
      <c r="G256" t="e">
        <f t="shared" si="9"/>
        <v>#N/A</v>
      </c>
      <c r="H256" t="e">
        <f t="shared" si="10"/>
        <v>#N/A</v>
      </c>
      <c r="J256" s="3" t="s">
        <v>287</v>
      </c>
      <c r="K256" s="16" t="s">
        <v>316</v>
      </c>
      <c r="L256" t="str">
        <f t="shared" si="11"/>
        <v>Anual</v>
      </c>
    </row>
    <row r="257" spans="1:12" ht="18" customHeight="1" x14ac:dyDescent="0.25">
      <c r="A257" s="4">
        <v>256</v>
      </c>
      <c r="B257" s="5" t="s">
        <v>280</v>
      </c>
      <c r="C257" s="4" t="s">
        <v>23</v>
      </c>
      <c r="D257" s="4" t="s">
        <v>12</v>
      </c>
      <c r="E257" s="4" t="s">
        <v>9</v>
      </c>
      <c r="F257" s="66" t="s">
        <v>12</v>
      </c>
      <c r="G257" t="str">
        <f t="shared" si="9"/>
        <v>Mensal</v>
      </c>
      <c r="H257" t="str">
        <f t="shared" si="10"/>
        <v>IGUAL</v>
      </c>
      <c r="J257" s="50" t="s">
        <v>288</v>
      </c>
      <c r="K257" s="15" t="s">
        <v>317</v>
      </c>
      <c r="L257" t="str">
        <f t="shared" si="11"/>
        <v>Mensal</v>
      </c>
    </row>
    <row r="258" spans="1:12" ht="18" customHeight="1" x14ac:dyDescent="0.25">
      <c r="A258" s="2">
        <v>257</v>
      </c>
      <c r="B258" s="3" t="s">
        <v>281</v>
      </c>
      <c r="C258" s="2" t="s">
        <v>156</v>
      </c>
      <c r="D258" s="2" t="s">
        <v>30</v>
      </c>
      <c r="E258" s="2" t="s">
        <v>9</v>
      </c>
      <c r="F258" s="66" t="s">
        <v>30</v>
      </c>
      <c r="G258" t="str">
        <f t="shared" si="9"/>
        <v>Semestral</v>
      </c>
      <c r="H258" t="str">
        <f t="shared" si="10"/>
        <v>IGUAL</v>
      </c>
      <c r="J258" s="3" t="s">
        <v>289</v>
      </c>
      <c r="K258" s="20" t="s">
        <v>316</v>
      </c>
      <c r="L258" t="str">
        <f t="shared" si="11"/>
        <v>Anual</v>
      </c>
    </row>
    <row r="259" spans="1:12" ht="18" customHeight="1" x14ac:dyDescent="0.25">
      <c r="A259" s="4">
        <v>258</v>
      </c>
      <c r="B259" s="5" t="s">
        <v>282</v>
      </c>
      <c r="C259" s="4" t="s">
        <v>23</v>
      </c>
      <c r="D259" s="4" t="s">
        <v>26</v>
      </c>
      <c r="E259" s="4" t="s">
        <v>9</v>
      </c>
      <c r="F259" s="66" t="s">
        <v>26</v>
      </c>
      <c r="G259" t="str">
        <f t="shared" ref="G259:G286" si="12">VLOOKUP(B259,$J$2:$L$276,3,FALSE)</f>
        <v>Anual</v>
      </c>
      <c r="H259" t="str">
        <f t="shared" ref="H259:H286" si="13">IF(D259=G259,"IGUAL","DIFERENTE")</f>
        <v>IGUAL</v>
      </c>
      <c r="J259" s="36" t="s">
        <v>332</v>
      </c>
      <c r="K259" s="15" t="s">
        <v>317</v>
      </c>
      <c r="L259" t="str">
        <f t="shared" si="11"/>
        <v>Mensal</v>
      </c>
    </row>
    <row r="260" spans="1:12" ht="18" customHeight="1" x14ac:dyDescent="0.25">
      <c r="A260" s="2">
        <v>259</v>
      </c>
      <c r="B260" s="3" t="s">
        <v>283</v>
      </c>
      <c r="C260" s="2" t="s">
        <v>46</v>
      </c>
      <c r="D260" s="2" t="s">
        <v>26</v>
      </c>
      <c r="E260" s="2" t="s">
        <v>9</v>
      </c>
      <c r="F260" s="66" t="s">
        <v>26</v>
      </c>
      <c r="G260" t="str">
        <f t="shared" si="12"/>
        <v>Anual</v>
      </c>
      <c r="H260" t="str">
        <f t="shared" si="13"/>
        <v>IGUAL</v>
      </c>
      <c r="J260" s="58" t="s">
        <v>290</v>
      </c>
      <c r="K260" s="30" t="s">
        <v>317</v>
      </c>
      <c r="L260" t="str">
        <f t="shared" ref="L260:L276" si="14">VLOOKUP(K260,$O$3:$P$11,2,FALSE)</f>
        <v>Mensal</v>
      </c>
    </row>
    <row r="261" spans="1:12" ht="18" customHeight="1" x14ac:dyDescent="0.25">
      <c r="A261" s="4">
        <v>260</v>
      </c>
      <c r="B261" s="5" t="s">
        <v>284</v>
      </c>
      <c r="C261" s="4" t="s">
        <v>15</v>
      </c>
      <c r="D261" s="4" t="s">
        <v>8</v>
      </c>
      <c r="E261" s="4" t="s">
        <v>9</v>
      </c>
      <c r="F261" s="66" t="s">
        <v>8</v>
      </c>
      <c r="G261" t="str">
        <f t="shared" si="12"/>
        <v>Trimestral</v>
      </c>
      <c r="H261" t="str">
        <f t="shared" si="13"/>
        <v>IGUAL</v>
      </c>
      <c r="J261" s="5" t="s">
        <v>292</v>
      </c>
      <c r="K261" s="30" t="s">
        <v>319</v>
      </c>
      <c r="L261" t="str">
        <f t="shared" si="14"/>
        <v>Trimestral</v>
      </c>
    </row>
    <row r="262" spans="1:12" ht="18" customHeight="1" x14ac:dyDescent="0.25">
      <c r="A262" s="2">
        <v>261</v>
      </c>
      <c r="B262" s="3" t="s">
        <v>285</v>
      </c>
      <c r="C262" s="2" t="s">
        <v>19</v>
      </c>
      <c r="D262" s="2" t="s">
        <v>26</v>
      </c>
      <c r="E262" s="2" t="s">
        <v>9</v>
      </c>
      <c r="F262" s="66" t="s">
        <v>26</v>
      </c>
      <c r="G262" t="str">
        <f t="shared" si="12"/>
        <v>Anual</v>
      </c>
      <c r="H262" t="str">
        <f t="shared" si="13"/>
        <v>IGUAL</v>
      </c>
      <c r="J262" s="63" t="s">
        <v>293</v>
      </c>
      <c r="K262" s="23" t="s">
        <v>317</v>
      </c>
      <c r="L262" t="str">
        <f t="shared" si="14"/>
        <v>Mensal</v>
      </c>
    </row>
    <row r="263" spans="1:12" ht="18" customHeight="1" x14ac:dyDescent="0.25">
      <c r="A263" s="4">
        <v>262</v>
      </c>
      <c r="B263" s="5" t="s">
        <v>286</v>
      </c>
      <c r="C263" s="4" t="s">
        <v>11</v>
      </c>
      <c r="D263" s="4" t="s">
        <v>12</v>
      </c>
      <c r="E263" s="4" t="s">
        <v>9</v>
      </c>
      <c r="F263" s="66" t="s">
        <v>12</v>
      </c>
      <c r="G263" t="str">
        <f t="shared" si="12"/>
        <v>Mensal</v>
      </c>
      <c r="H263" t="str">
        <f t="shared" si="13"/>
        <v>IGUAL</v>
      </c>
      <c r="J263" s="49" t="s">
        <v>294</v>
      </c>
      <c r="K263" s="16" t="s">
        <v>317</v>
      </c>
      <c r="L263" t="str">
        <f t="shared" si="14"/>
        <v>Mensal</v>
      </c>
    </row>
    <row r="264" spans="1:12" ht="18" customHeight="1" x14ac:dyDescent="0.25">
      <c r="A264" s="2">
        <v>263</v>
      </c>
      <c r="B264" s="3" t="s">
        <v>287</v>
      </c>
      <c r="C264" s="2" t="s">
        <v>46</v>
      </c>
      <c r="D264" s="2" t="s">
        <v>26</v>
      </c>
      <c r="E264" s="2" t="s">
        <v>9</v>
      </c>
      <c r="F264" s="66" t="s">
        <v>26</v>
      </c>
      <c r="G264" t="str">
        <f t="shared" si="12"/>
        <v>Anual</v>
      </c>
      <c r="H264" t="str">
        <f t="shared" si="13"/>
        <v>IGUAL</v>
      </c>
      <c r="J264" s="5" t="s">
        <v>296</v>
      </c>
      <c r="K264" s="22" t="s">
        <v>316</v>
      </c>
      <c r="L264" t="str">
        <f t="shared" si="14"/>
        <v>Anual</v>
      </c>
    </row>
    <row r="265" spans="1:12" ht="18" customHeight="1" x14ac:dyDescent="0.25">
      <c r="A265" s="4">
        <v>264</v>
      </c>
      <c r="B265" s="5" t="s">
        <v>288</v>
      </c>
      <c r="C265" s="4" t="s">
        <v>11</v>
      </c>
      <c r="D265" s="4" t="s">
        <v>12</v>
      </c>
      <c r="E265" s="4" t="s">
        <v>9</v>
      </c>
      <c r="F265" s="66" t="s">
        <v>12</v>
      </c>
      <c r="G265" t="str">
        <f t="shared" si="12"/>
        <v>Mensal</v>
      </c>
      <c r="H265" t="str">
        <f t="shared" si="13"/>
        <v>IGUAL</v>
      </c>
      <c r="J265" s="3" t="s">
        <v>297</v>
      </c>
      <c r="K265" s="19" t="s">
        <v>317</v>
      </c>
      <c r="L265" t="str">
        <f t="shared" si="14"/>
        <v>Mensal</v>
      </c>
    </row>
    <row r="266" spans="1:12" ht="18" customHeight="1" x14ac:dyDescent="0.25">
      <c r="A266" s="2">
        <v>265</v>
      </c>
      <c r="B266" s="3" t="s">
        <v>289</v>
      </c>
      <c r="C266" s="2" t="s">
        <v>7</v>
      </c>
      <c r="D266" s="2" t="s">
        <v>26</v>
      </c>
      <c r="E266" s="2" t="s">
        <v>9</v>
      </c>
      <c r="F266" s="66" t="s">
        <v>26</v>
      </c>
      <c r="G266" t="str">
        <f t="shared" si="12"/>
        <v>Anual</v>
      </c>
      <c r="H266" t="str">
        <f t="shared" si="13"/>
        <v>IGUAL</v>
      </c>
      <c r="J266" s="50" t="s">
        <v>299</v>
      </c>
      <c r="K266" s="15" t="s">
        <v>317</v>
      </c>
      <c r="L266" t="str">
        <f t="shared" si="14"/>
        <v>Mensal</v>
      </c>
    </row>
    <row r="267" spans="1:12" ht="18" customHeight="1" x14ac:dyDescent="0.25">
      <c r="A267" s="4">
        <v>266</v>
      </c>
      <c r="B267" s="5" t="s">
        <v>290</v>
      </c>
      <c r="C267" s="4" t="s">
        <v>7</v>
      </c>
      <c r="D267" s="4" t="s">
        <v>8</v>
      </c>
      <c r="E267" s="4" t="s">
        <v>9</v>
      </c>
      <c r="F267" s="66" t="s">
        <v>12</v>
      </c>
      <c r="G267" t="str">
        <f t="shared" si="12"/>
        <v>Mensal</v>
      </c>
      <c r="H267" t="str">
        <f t="shared" si="13"/>
        <v>DIFERENTE</v>
      </c>
      <c r="J267" s="36" t="s">
        <v>327</v>
      </c>
      <c r="K267" s="15" t="s">
        <v>317</v>
      </c>
      <c r="L267" t="str">
        <f t="shared" si="14"/>
        <v>Mensal</v>
      </c>
    </row>
    <row r="268" spans="1:12" ht="18" customHeight="1" x14ac:dyDescent="0.25">
      <c r="A268" s="2">
        <v>267</v>
      </c>
      <c r="B268" s="3" t="s">
        <v>291</v>
      </c>
      <c r="C268" s="2" t="s">
        <v>23</v>
      </c>
      <c r="D268" s="2" t="s">
        <v>12</v>
      </c>
      <c r="E268" s="2" t="s">
        <v>9</v>
      </c>
      <c r="F268" s="66" t="e">
        <v>#N/A</v>
      </c>
      <c r="G268" t="e">
        <f t="shared" si="12"/>
        <v>#N/A</v>
      </c>
      <c r="H268" t="e">
        <f t="shared" si="13"/>
        <v>#N/A</v>
      </c>
      <c r="J268" s="5" t="s">
        <v>300</v>
      </c>
      <c r="K268" s="15" t="s">
        <v>319</v>
      </c>
      <c r="L268" t="str">
        <f t="shared" si="14"/>
        <v>Trimestral</v>
      </c>
    </row>
    <row r="269" spans="1:12" ht="18" customHeight="1" x14ac:dyDescent="0.25">
      <c r="A269" s="4">
        <v>268</v>
      </c>
      <c r="B269" s="5" t="s">
        <v>292</v>
      </c>
      <c r="C269" s="4" t="s">
        <v>23</v>
      </c>
      <c r="D269" s="4" t="s">
        <v>8</v>
      </c>
      <c r="E269" s="4" t="s">
        <v>9</v>
      </c>
      <c r="F269" s="66" t="s">
        <v>8</v>
      </c>
      <c r="G269" t="str">
        <f t="shared" si="12"/>
        <v>Trimestral</v>
      </c>
      <c r="H269" t="str">
        <f t="shared" si="13"/>
        <v>IGUAL</v>
      </c>
      <c r="J269" s="5" t="s">
        <v>298</v>
      </c>
      <c r="K269" s="15" t="s">
        <v>317</v>
      </c>
      <c r="L269" t="str">
        <f t="shared" si="14"/>
        <v>Mensal</v>
      </c>
    </row>
    <row r="270" spans="1:12" ht="18" customHeight="1" x14ac:dyDescent="0.25">
      <c r="A270" s="2">
        <v>269</v>
      </c>
      <c r="B270" s="3" t="s">
        <v>293</v>
      </c>
      <c r="C270" s="2" t="s">
        <v>179</v>
      </c>
      <c r="D270" s="2" t="s">
        <v>12</v>
      </c>
      <c r="E270" s="2" t="s">
        <v>9</v>
      </c>
      <c r="F270" s="66" t="s">
        <v>12</v>
      </c>
      <c r="G270" t="str">
        <f t="shared" si="12"/>
        <v>Mensal</v>
      </c>
      <c r="H270" t="str">
        <f t="shared" si="13"/>
        <v>IGUAL</v>
      </c>
      <c r="J270" s="3" t="s">
        <v>301</v>
      </c>
      <c r="K270" s="27" t="s">
        <v>315</v>
      </c>
      <c r="L270" t="str">
        <f t="shared" si="14"/>
        <v>Semestral</v>
      </c>
    </row>
    <row r="271" spans="1:12" ht="18" customHeight="1" x14ac:dyDescent="0.25">
      <c r="A271" s="4">
        <v>270</v>
      </c>
      <c r="B271" s="5" t="s">
        <v>294</v>
      </c>
      <c r="C271" s="4" t="s">
        <v>23</v>
      </c>
      <c r="D271" s="4" t="s">
        <v>12</v>
      </c>
      <c r="E271" s="4" t="s">
        <v>9</v>
      </c>
      <c r="F271" s="66" t="s">
        <v>12</v>
      </c>
      <c r="G271" t="str">
        <f t="shared" si="12"/>
        <v>Mensal</v>
      </c>
      <c r="H271" t="str">
        <f t="shared" si="13"/>
        <v>IGUAL</v>
      </c>
      <c r="J271" s="43" t="s">
        <v>326</v>
      </c>
      <c r="K271" s="21" t="s">
        <v>317</v>
      </c>
      <c r="L271" t="str">
        <f t="shared" si="14"/>
        <v>Mensal</v>
      </c>
    </row>
    <row r="272" spans="1:12" ht="18" customHeight="1" x14ac:dyDescent="0.25">
      <c r="A272" s="2">
        <v>271</v>
      </c>
      <c r="B272" s="3" t="s">
        <v>295</v>
      </c>
      <c r="C272" s="2" t="s">
        <v>19</v>
      </c>
      <c r="D272" s="2" t="s">
        <v>12</v>
      </c>
      <c r="E272" s="2" t="s">
        <v>9</v>
      </c>
      <c r="F272" s="66" t="e">
        <v>#N/A</v>
      </c>
      <c r="G272" t="e">
        <f t="shared" si="12"/>
        <v>#N/A</v>
      </c>
      <c r="H272" t="e">
        <f t="shared" si="13"/>
        <v>#N/A</v>
      </c>
      <c r="J272" s="5" t="s">
        <v>304</v>
      </c>
      <c r="K272" s="22" t="s">
        <v>316</v>
      </c>
      <c r="L272" t="str">
        <f t="shared" si="14"/>
        <v>Anual</v>
      </c>
    </row>
    <row r="273" spans="1:12" ht="18" customHeight="1" x14ac:dyDescent="0.25">
      <c r="A273" s="4">
        <v>272</v>
      </c>
      <c r="B273" s="5" t="s">
        <v>296</v>
      </c>
      <c r="C273" s="4" t="s">
        <v>46</v>
      </c>
      <c r="D273" s="4" t="s">
        <v>26</v>
      </c>
      <c r="E273" s="4" t="s">
        <v>9</v>
      </c>
      <c r="F273" s="66" t="s">
        <v>26</v>
      </c>
      <c r="G273" t="str">
        <f t="shared" si="12"/>
        <v>Anual</v>
      </c>
      <c r="H273" t="str">
        <f t="shared" si="13"/>
        <v>IGUAL</v>
      </c>
      <c r="J273" s="46" t="s">
        <v>305</v>
      </c>
      <c r="K273" s="19" t="s">
        <v>317</v>
      </c>
      <c r="L273" t="str">
        <f t="shared" si="14"/>
        <v>Mensal</v>
      </c>
    </row>
    <row r="274" spans="1:12" ht="18" customHeight="1" x14ac:dyDescent="0.25">
      <c r="A274" s="2">
        <v>273</v>
      </c>
      <c r="B274" s="3" t="s">
        <v>297</v>
      </c>
      <c r="C274" s="2" t="s">
        <v>46</v>
      </c>
      <c r="D274" s="2" t="s">
        <v>12</v>
      </c>
      <c r="E274" s="2" t="s">
        <v>9</v>
      </c>
      <c r="F274" s="66" t="s">
        <v>12</v>
      </c>
      <c r="G274" t="str">
        <f t="shared" si="12"/>
        <v>Mensal</v>
      </c>
      <c r="H274" t="str">
        <f t="shared" si="13"/>
        <v>IGUAL</v>
      </c>
      <c r="J274" s="5" t="s">
        <v>306</v>
      </c>
      <c r="K274" s="20" t="s">
        <v>315</v>
      </c>
      <c r="L274" t="str">
        <f t="shared" si="14"/>
        <v>Semestral</v>
      </c>
    </row>
    <row r="275" spans="1:12" ht="18" customHeight="1" x14ac:dyDescent="0.25">
      <c r="A275" s="4">
        <v>274</v>
      </c>
      <c r="B275" s="5" t="s">
        <v>298</v>
      </c>
      <c r="C275" s="4" t="s">
        <v>23</v>
      </c>
      <c r="D275" s="4" t="s">
        <v>12</v>
      </c>
      <c r="E275" s="4" t="s">
        <v>9</v>
      </c>
      <c r="F275" s="66" t="s">
        <v>12</v>
      </c>
      <c r="G275" t="str">
        <f t="shared" si="12"/>
        <v>Mensal</v>
      </c>
      <c r="H275" t="str">
        <f t="shared" si="13"/>
        <v>IGUAL</v>
      </c>
      <c r="J275" s="3" t="s">
        <v>307</v>
      </c>
      <c r="K275" s="15" t="s">
        <v>317</v>
      </c>
      <c r="L275" t="str">
        <f t="shared" si="14"/>
        <v>Mensal</v>
      </c>
    </row>
    <row r="276" spans="1:12" ht="18" customHeight="1" x14ac:dyDescent="0.25">
      <c r="A276" s="2">
        <v>275</v>
      </c>
      <c r="B276" s="3" t="s">
        <v>299</v>
      </c>
      <c r="C276" s="2" t="s">
        <v>23</v>
      </c>
      <c r="D276" s="2" t="s">
        <v>12</v>
      </c>
      <c r="E276" s="2" t="s">
        <v>9</v>
      </c>
      <c r="F276" s="66" t="s">
        <v>12</v>
      </c>
      <c r="G276" t="str">
        <f t="shared" si="12"/>
        <v>Mensal</v>
      </c>
      <c r="H276" t="str">
        <f t="shared" si="13"/>
        <v>IGUAL</v>
      </c>
      <c r="J276" s="36" t="s">
        <v>308</v>
      </c>
      <c r="K276" s="15" t="s">
        <v>317</v>
      </c>
      <c r="L276" t="str">
        <f t="shared" si="14"/>
        <v>Mensal</v>
      </c>
    </row>
    <row r="277" spans="1:12" ht="18" customHeight="1" x14ac:dyDescent="0.25">
      <c r="A277" s="4">
        <v>276</v>
      </c>
      <c r="B277" s="5" t="s">
        <v>300</v>
      </c>
      <c r="C277" s="4" t="s">
        <v>23</v>
      </c>
      <c r="D277" s="4" t="s">
        <v>8</v>
      </c>
      <c r="E277" s="4" t="s">
        <v>9</v>
      </c>
      <c r="F277" s="66" t="s">
        <v>8</v>
      </c>
      <c r="G277" t="str">
        <f t="shared" si="12"/>
        <v>Trimestral</v>
      </c>
      <c r="H277" t="str">
        <f t="shared" si="13"/>
        <v>IGUAL</v>
      </c>
    </row>
    <row r="278" spans="1:12" ht="18" customHeight="1" x14ac:dyDescent="0.25">
      <c r="A278" s="2">
        <v>277</v>
      </c>
      <c r="B278" s="3" t="s">
        <v>301</v>
      </c>
      <c r="C278" s="2" t="s">
        <v>15</v>
      </c>
      <c r="D278" s="2" t="s">
        <v>30</v>
      </c>
      <c r="E278" s="2" t="s">
        <v>9</v>
      </c>
      <c r="F278" s="66" t="s">
        <v>30</v>
      </c>
      <c r="G278" t="str">
        <f t="shared" si="12"/>
        <v>Semestral</v>
      </c>
      <c r="H278" t="str">
        <f t="shared" si="13"/>
        <v>IGUAL</v>
      </c>
    </row>
    <row r="279" spans="1:12" ht="18" customHeight="1" x14ac:dyDescent="0.25">
      <c r="A279" s="4">
        <v>278</v>
      </c>
      <c r="B279" s="5" t="s">
        <v>302</v>
      </c>
      <c r="C279" s="4" t="s">
        <v>21</v>
      </c>
      <c r="D279" s="4" t="s">
        <v>12</v>
      </c>
      <c r="E279" s="4" t="s">
        <v>9</v>
      </c>
      <c r="F279" s="66" t="e">
        <v>#N/A</v>
      </c>
      <c r="G279" t="e">
        <f t="shared" si="12"/>
        <v>#N/A</v>
      </c>
      <c r="H279" t="e">
        <f t="shared" si="13"/>
        <v>#N/A</v>
      </c>
    </row>
    <row r="280" spans="1:12" ht="18" customHeight="1" x14ac:dyDescent="0.25">
      <c r="A280" s="2">
        <v>279</v>
      </c>
      <c r="B280" s="3" t="s">
        <v>303</v>
      </c>
      <c r="C280" s="2" t="s">
        <v>11</v>
      </c>
      <c r="D280" s="2" t="s">
        <v>12</v>
      </c>
      <c r="E280" s="2" t="s">
        <v>9</v>
      </c>
      <c r="F280" s="66" t="e">
        <v>#N/A</v>
      </c>
      <c r="G280" t="e">
        <f t="shared" si="12"/>
        <v>#N/A</v>
      </c>
      <c r="H280" t="e">
        <f t="shared" si="13"/>
        <v>#N/A</v>
      </c>
    </row>
    <row r="281" spans="1:12" ht="18" customHeight="1" x14ac:dyDescent="0.25">
      <c r="A281" s="4">
        <v>280</v>
      </c>
      <c r="B281" s="5" t="s">
        <v>304</v>
      </c>
      <c r="C281" s="4" t="s">
        <v>11</v>
      </c>
      <c r="D281" s="4" t="s">
        <v>12</v>
      </c>
      <c r="E281" s="4" t="s">
        <v>9</v>
      </c>
      <c r="F281" s="66" t="s">
        <v>26</v>
      </c>
      <c r="G281" t="str">
        <f t="shared" si="12"/>
        <v>Anual</v>
      </c>
      <c r="H281" t="str">
        <f t="shared" si="13"/>
        <v>DIFERENTE</v>
      </c>
    </row>
    <row r="282" spans="1:12" ht="18" customHeight="1" x14ac:dyDescent="0.25">
      <c r="A282" s="2">
        <v>281</v>
      </c>
      <c r="B282" s="3" t="s">
        <v>305</v>
      </c>
      <c r="C282" s="2" t="s">
        <v>19</v>
      </c>
      <c r="D282" s="2" t="s">
        <v>12</v>
      </c>
      <c r="E282" s="2" t="s">
        <v>9</v>
      </c>
      <c r="F282" s="66" t="s">
        <v>12</v>
      </c>
      <c r="G282" t="str">
        <f t="shared" si="12"/>
        <v>Mensal</v>
      </c>
      <c r="H282" t="str">
        <f t="shared" si="13"/>
        <v>IGUAL</v>
      </c>
    </row>
    <row r="283" spans="1:12" ht="18" customHeight="1" x14ac:dyDescent="0.25">
      <c r="A283" s="4">
        <v>282</v>
      </c>
      <c r="B283" s="5" t="s">
        <v>306</v>
      </c>
      <c r="C283" s="4" t="s">
        <v>23</v>
      </c>
      <c r="D283" s="4" t="s">
        <v>30</v>
      </c>
      <c r="E283" s="4" t="s">
        <v>9</v>
      </c>
      <c r="F283" s="66" t="s">
        <v>30</v>
      </c>
      <c r="G283" t="str">
        <f t="shared" si="12"/>
        <v>Semestral</v>
      </c>
      <c r="H283" t="str">
        <f t="shared" si="13"/>
        <v>IGUAL</v>
      </c>
    </row>
    <row r="284" spans="1:12" ht="18" customHeight="1" x14ac:dyDescent="0.25">
      <c r="A284" s="2">
        <v>283</v>
      </c>
      <c r="B284" s="3" t="s">
        <v>307</v>
      </c>
      <c r="C284" s="2" t="s">
        <v>11</v>
      </c>
      <c r="D284" s="2" t="s">
        <v>12</v>
      </c>
      <c r="E284" s="2" t="s">
        <v>9</v>
      </c>
      <c r="F284" s="66" t="s">
        <v>12</v>
      </c>
      <c r="G284" t="str">
        <f t="shared" si="12"/>
        <v>Mensal</v>
      </c>
      <c r="H284" t="str">
        <f t="shared" si="13"/>
        <v>IGUAL</v>
      </c>
    </row>
    <row r="285" spans="1:12" ht="18" customHeight="1" x14ac:dyDescent="0.25">
      <c r="A285" s="4">
        <v>284</v>
      </c>
      <c r="B285" s="5" t="s">
        <v>308</v>
      </c>
      <c r="C285" s="4" t="s">
        <v>11</v>
      </c>
      <c r="D285" s="4" t="s">
        <v>12</v>
      </c>
      <c r="E285" s="4" t="s">
        <v>9</v>
      </c>
      <c r="F285" s="66" t="s">
        <v>12</v>
      </c>
      <c r="G285" t="str">
        <f t="shared" si="12"/>
        <v>Mensal</v>
      </c>
      <c r="H285" t="str">
        <f t="shared" si="13"/>
        <v>IGUAL</v>
      </c>
    </row>
    <row r="286" spans="1:12" ht="18" customHeight="1" x14ac:dyDescent="0.25">
      <c r="A286" s="2">
        <v>285</v>
      </c>
      <c r="B286" s="3" t="s">
        <v>309</v>
      </c>
      <c r="C286" s="2" t="s">
        <v>23</v>
      </c>
      <c r="D286" s="2" t="s">
        <v>12</v>
      </c>
      <c r="E286" s="2" t="s">
        <v>9</v>
      </c>
      <c r="F286" s="66" t="e">
        <v>#N/A</v>
      </c>
      <c r="G286" t="e">
        <f t="shared" si="12"/>
        <v>#N/A</v>
      </c>
      <c r="H286" t="e">
        <f t="shared" si="13"/>
        <v>#N/A</v>
      </c>
    </row>
  </sheetData>
  <sortState xmlns:xlrd2="http://schemas.microsoft.com/office/spreadsheetml/2017/richdata2" ref="J2:K276">
    <sortCondition ref="J2:J276"/>
  </sortState>
  <dataValidations count="1">
    <dataValidation type="list" allowBlank="1" showErrorMessage="1" errorTitle="Valor inválido" error="Selecione: Mensal, Semestral, Trimestral ou Anual" sqref="F2:F286" xr:uid="{00000000-0002-0000-0000-000000000000}">
      <formula1>"Mensal,Semestral,Trimestral,Anual"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8274-6567-462E-A6C3-16029235EC6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5" customWidth="1"/>
    <col min="2" max="2" width="60" customWidth="1"/>
  </cols>
  <sheetData>
    <row r="1" spans="1:2" ht="15.75" x14ac:dyDescent="0.25">
      <c r="A1" s="8" t="s">
        <v>310</v>
      </c>
    </row>
    <row r="3" spans="1:2" x14ac:dyDescent="0.25">
      <c r="A3" s="9"/>
      <c r="B3" s="10" t="s">
        <v>311</v>
      </c>
    </row>
    <row r="4" spans="1:2" x14ac:dyDescent="0.25">
      <c r="A4" s="11"/>
      <c r="B4" s="10" t="s">
        <v>312</v>
      </c>
    </row>
    <row r="5" spans="1:2" x14ac:dyDescent="0.25">
      <c r="A5" s="12"/>
      <c r="B5" s="10" t="s">
        <v>313</v>
      </c>
    </row>
    <row r="6" spans="1:2" x14ac:dyDescent="0.25">
      <c r="A6" s="13"/>
      <c r="B6" s="10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Revisão de Planos</vt:lpstr>
      <vt:lpstr>Planilha1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Medeiros</cp:lastModifiedBy>
  <dcterms:created xsi:type="dcterms:W3CDTF">2026-04-07T13:08:11Z</dcterms:created>
  <dcterms:modified xsi:type="dcterms:W3CDTF">2026-04-09T20:47:51Z</dcterms:modified>
</cp:coreProperties>
</file>